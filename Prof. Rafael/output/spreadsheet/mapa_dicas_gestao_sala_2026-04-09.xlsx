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as" sheetId="1" state="visible" r:id="rId1"/>
    <sheet name="Fontes" sheetId="2" state="visible" r:id="rId2"/>
    <sheet name="Criterios" sheetId="3" state="visible" r:id="rId3"/>
  </sheets>
  <definedNames>
    <definedName name="_xlnm._FilterDatabase" localSheetId="0" hidden="1">'Dicas'!$A$1:$R$61</definedName>
    <definedName name="_xlnm._FilterDatabase" localSheetId="1" hidden="1">'Fontes'!$A$1:$G$7</definedName>
    <definedName name="_xlnm._FilterDatabase" localSheetId="2" hidden="1">'Criterios'!$A$1:$F$7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icasTable" displayName="DicasTable" ref="A1:R61" headerRowCount="1">
  <autoFilter ref="A1:R61"/>
  <tableColumns count="18">
    <tableColumn id="1" name="slot_id"/>
    <tableColumn id="2" name="tip_texto"/>
    <tableColumn id="3" name="tema"/>
    <tableColumn id="4" name="subtema"/>
    <tableColumn id="5" name="dor_associada"/>
    <tableColumn id="6" name="novidade_0a10"/>
    <tableColumn id="7" name="impacto_0a10"/>
    <tableColumn id="8" name="evidencia_0a10"/>
    <tableColumn id="9" name="conforto_publico_0a10"/>
    <tableColumn id="10" name="risco_cliche_0a10"/>
    <tableColumn id="11" name="score_total"/>
    <tableColumn id="12" name="prioridade"/>
    <tableColumn id="13" name="uso_ideal"/>
    <tableColumn id="14" name="status"/>
    <tableColumn id="15" name="fonte_ids"/>
    <tableColumn id="16" name="fonte_principal"/>
    <tableColumn id="17" name="trecho_prova"/>
    <tableColumn id="18" name="observaco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ntesTable" displayName="FontesTable" ref="A1:G7" headerRowCount="1">
  <autoFilter ref="A1:G7"/>
  <tableColumns count="7">
    <tableColumn id="1" name="fonte_id"/>
    <tableColumn id="2" name="categoria"/>
    <tableColumn id="3" name="titulo"/>
    <tableColumn id="4" name="url_ou_path"/>
    <tableColumn id="5" name="status"/>
    <tableColumn id="6" name="descricao"/>
    <tableColumn id="7" name="observaco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20" customWidth="1" min="4" max="4"/>
    <col width="2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1" customWidth="1" min="11" max="11"/>
    <col width="10" customWidth="1" min="12" max="12"/>
    <col width="18" customWidth="1" min="13" max="13"/>
    <col width="18" customWidth="1" min="14" max="14"/>
    <col width="18" customWidth="1" min="15" max="15"/>
    <col width="34" customWidth="1" min="16" max="16"/>
    <col width="34" customWidth="1" min="17" max="17"/>
    <col width="28" customWidth="1" min="18" max="18"/>
  </cols>
  <sheetData>
    <row r="1" ht="24" customHeight="1">
      <c r="A1" s="1" t="inlineStr">
        <is>
          <t>slot_id</t>
        </is>
      </c>
      <c r="B1" s="1" t="inlineStr">
        <is>
          <t>tip_texto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dor_associada</t>
        </is>
      </c>
      <c r="F1" s="1" t="inlineStr">
        <is>
          <t>novidade_0a10</t>
        </is>
      </c>
      <c r="G1" s="1" t="inlineStr">
        <is>
          <t>impacto_0a10</t>
        </is>
      </c>
      <c r="H1" s="1" t="inlineStr">
        <is>
          <t>evidencia_0a10</t>
        </is>
      </c>
      <c r="I1" s="1" t="inlineStr">
        <is>
          <t>conforto_publico_0a10</t>
        </is>
      </c>
      <c r="J1" s="1" t="inlineStr">
        <is>
          <t>risco_cliche_0a10</t>
        </is>
      </c>
      <c r="K1" s="1" t="inlineStr">
        <is>
          <t>score_total</t>
        </is>
      </c>
      <c r="L1" s="1" t="inlineStr">
        <is>
          <t>prioridade</t>
        </is>
      </c>
      <c r="M1" s="1" t="inlineStr">
        <is>
          <t>uso_ideal</t>
        </is>
      </c>
      <c r="N1" s="1" t="inlineStr">
        <is>
          <t>status</t>
        </is>
      </c>
      <c r="O1" s="1" t="inlineStr">
        <is>
          <t>fonte_ids</t>
        </is>
      </c>
      <c r="P1" s="1" t="inlineStr">
        <is>
          <t>fonte_principal</t>
        </is>
      </c>
      <c r="Q1" s="1" t="inlineStr">
        <is>
          <t>trecho_prova</t>
        </is>
      </c>
      <c r="R1" s="1" t="inlineStr">
        <is>
          <t>observacoes</t>
        </is>
      </c>
    </row>
    <row r="2">
      <c r="A2" s="2" t="inlineStr">
        <is>
          <t>D01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>
        <f>IF(COUNTA(F2:J2)=0,"",ROUND((F2+G2+H2+I2+(10-J2))/5,1))</f>
        <v/>
      </c>
      <c r="L2" s="2">
        <f>IF(K2="","",IF(K2&gt;=8,"A",IF(K2&gt;=6,"B","C")))</f>
        <v/>
      </c>
      <c r="M2" s="2" t="inlineStr"/>
      <c r="N2" s="2" t="inlineStr">
        <is>
          <t>aguardando_importacao</t>
        </is>
      </c>
      <c r="O2" s="2" t="inlineStr"/>
      <c r="P2" s="2" t="inlineStr"/>
      <c r="Q2" s="2" t="inlineStr"/>
      <c r="R2" s="2" t="inlineStr"/>
    </row>
    <row r="3">
      <c r="A3" s="2" t="inlineStr">
        <is>
          <t>D02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>
        <f>IF(COUNTA(F3:J3)=0,"",ROUND((F3+G3+H3+I3+(10-J3))/5,1))</f>
        <v/>
      </c>
      <c r="L3" s="2">
        <f>IF(K3="","",IF(K3&gt;=8,"A",IF(K3&gt;=6,"B","C")))</f>
        <v/>
      </c>
      <c r="M3" s="2" t="inlineStr"/>
      <c r="N3" s="2" t="inlineStr">
        <is>
          <t>aguardando_importacao</t>
        </is>
      </c>
      <c r="O3" s="2" t="inlineStr"/>
      <c r="P3" s="2" t="inlineStr"/>
      <c r="Q3" s="2" t="inlineStr"/>
      <c r="R3" s="2" t="inlineStr"/>
    </row>
    <row r="4">
      <c r="A4" s="2" t="inlineStr">
        <is>
          <t>D03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>
        <f>IF(COUNTA(F4:J4)=0,"",ROUND((F4+G4+H4+I4+(10-J4))/5,1))</f>
        <v/>
      </c>
      <c r="L4" s="2">
        <f>IF(K4="","",IF(K4&gt;=8,"A",IF(K4&gt;=6,"B","C")))</f>
        <v/>
      </c>
      <c r="M4" s="2" t="inlineStr"/>
      <c r="N4" s="2" t="inlineStr">
        <is>
          <t>aguardando_importacao</t>
        </is>
      </c>
      <c r="O4" s="2" t="inlineStr"/>
      <c r="P4" s="2" t="inlineStr"/>
      <c r="Q4" s="2" t="inlineStr"/>
      <c r="R4" s="2" t="inlineStr"/>
    </row>
    <row r="5">
      <c r="A5" s="2" t="inlineStr">
        <is>
          <t>D04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>
        <f>IF(COUNTA(F5:J5)=0,"",ROUND((F5+G5+H5+I5+(10-J5))/5,1))</f>
        <v/>
      </c>
      <c r="L5" s="2">
        <f>IF(K5="","",IF(K5&gt;=8,"A",IF(K5&gt;=6,"B","C")))</f>
        <v/>
      </c>
      <c r="M5" s="2" t="inlineStr"/>
      <c r="N5" s="2" t="inlineStr">
        <is>
          <t>aguardando_importacao</t>
        </is>
      </c>
      <c r="O5" s="2" t="inlineStr"/>
      <c r="P5" s="2" t="inlineStr"/>
      <c r="Q5" s="2" t="inlineStr"/>
      <c r="R5" s="2" t="inlineStr"/>
    </row>
    <row r="6">
      <c r="A6" s="2" t="inlineStr">
        <is>
          <t>D05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>
        <f>IF(COUNTA(F6:J6)=0,"",ROUND((F6+G6+H6+I6+(10-J6))/5,1))</f>
        <v/>
      </c>
      <c r="L6" s="2">
        <f>IF(K6="","",IF(K6&gt;=8,"A",IF(K6&gt;=6,"B","C")))</f>
        <v/>
      </c>
      <c r="M6" s="2" t="inlineStr"/>
      <c r="N6" s="2" t="inlineStr">
        <is>
          <t>aguardando_importacao</t>
        </is>
      </c>
      <c r="O6" s="2" t="inlineStr"/>
      <c r="P6" s="2" t="inlineStr"/>
      <c r="Q6" s="2" t="inlineStr"/>
      <c r="R6" s="2" t="inlineStr"/>
    </row>
    <row r="7">
      <c r="A7" s="2" t="inlineStr">
        <is>
          <t>D06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>
        <f>IF(COUNTA(F7:J7)=0,"",ROUND((F7+G7+H7+I7+(10-J7))/5,1))</f>
        <v/>
      </c>
      <c r="L7" s="2">
        <f>IF(K7="","",IF(K7&gt;=8,"A",IF(K7&gt;=6,"B","C")))</f>
        <v/>
      </c>
      <c r="M7" s="2" t="inlineStr"/>
      <c r="N7" s="2" t="inlineStr">
        <is>
          <t>aguardando_importacao</t>
        </is>
      </c>
      <c r="O7" s="2" t="inlineStr"/>
      <c r="P7" s="2" t="inlineStr"/>
      <c r="Q7" s="2" t="inlineStr"/>
      <c r="R7" s="2" t="inlineStr"/>
    </row>
    <row r="8">
      <c r="A8" s="2" t="inlineStr">
        <is>
          <t>D07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>
        <f>IF(COUNTA(F8:J8)=0,"",ROUND((F8+G8+H8+I8+(10-J8))/5,1))</f>
        <v/>
      </c>
      <c r="L8" s="2">
        <f>IF(K8="","",IF(K8&gt;=8,"A",IF(K8&gt;=6,"B","C")))</f>
        <v/>
      </c>
      <c r="M8" s="2" t="inlineStr"/>
      <c r="N8" s="2" t="inlineStr">
        <is>
          <t>aguardando_importacao</t>
        </is>
      </c>
      <c r="O8" s="2" t="inlineStr"/>
      <c r="P8" s="2" t="inlineStr"/>
      <c r="Q8" s="2" t="inlineStr"/>
      <c r="R8" s="2" t="inlineStr"/>
    </row>
    <row r="9">
      <c r="A9" s="2" t="inlineStr">
        <is>
          <t>D08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>
        <f>IF(COUNTA(F9:J9)=0,"",ROUND((F9+G9+H9+I9+(10-J9))/5,1))</f>
        <v/>
      </c>
      <c r="L9" s="2">
        <f>IF(K9="","",IF(K9&gt;=8,"A",IF(K9&gt;=6,"B","C")))</f>
        <v/>
      </c>
      <c r="M9" s="2" t="inlineStr"/>
      <c r="N9" s="2" t="inlineStr">
        <is>
          <t>aguardando_importacao</t>
        </is>
      </c>
      <c r="O9" s="2" t="inlineStr"/>
      <c r="P9" s="2" t="inlineStr"/>
      <c r="Q9" s="2" t="inlineStr"/>
      <c r="R9" s="2" t="inlineStr"/>
    </row>
    <row r="10">
      <c r="A10" s="2" t="inlineStr">
        <is>
          <t>D09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>
        <f>IF(COUNTA(F10:J10)=0,"",ROUND((F10+G10+H10+I10+(10-J10))/5,1))</f>
        <v/>
      </c>
      <c r="L10" s="2">
        <f>IF(K10="","",IF(K10&gt;=8,"A",IF(K10&gt;=6,"B","C")))</f>
        <v/>
      </c>
      <c r="M10" s="2" t="inlineStr"/>
      <c r="N10" s="2" t="inlineStr">
        <is>
          <t>aguardando_importacao</t>
        </is>
      </c>
      <c r="O10" s="2" t="inlineStr"/>
      <c r="P10" s="2" t="inlineStr"/>
      <c r="Q10" s="2" t="inlineStr"/>
      <c r="R10" s="2" t="inlineStr"/>
    </row>
    <row r="11">
      <c r="A11" s="2" t="inlineStr">
        <is>
          <t>D10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>
        <f>IF(COUNTA(F11:J11)=0,"",ROUND((F11+G11+H11+I11+(10-J11))/5,1))</f>
        <v/>
      </c>
      <c r="L11" s="2">
        <f>IF(K11="","",IF(K11&gt;=8,"A",IF(K11&gt;=6,"B","C")))</f>
        <v/>
      </c>
      <c r="M11" s="2" t="inlineStr"/>
      <c r="N11" s="2" t="inlineStr">
        <is>
          <t>aguardando_importacao</t>
        </is>
      </c>
      <c r="O11" s="2" t="inlineStr"/>
      <c r="P11" s="2" t="inlineStr"/>
      <c r="Q11" s="2" t="inlineStr"/>
      <c r="R11" s="2" t="inlineStr"/>
    </row>
    <row r="12">
      <c r="A12" s="2" t="inlineStr">
        <is>
          <t>D11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>
        <f>IF(COUNTA(F12:J12)=0,"",ROUND((F12+G12+H12+I12+(10-J12))/5,1))</f>
        <v/>
      </c>
      <c r="L12" s="2">
        <f>IF(K12="","",IF(K12&gt;=8,"A",IF(K12&gt;=6,"B","C")))</f>
        <v/>
      </c>
      <c r="M12" s="2" t="inlineStr"/>
      <c r="N12" s="2" t="inlineStr">
        <is>
          <t>aguardando_importacao</t>
        </is>
      </c>
      <c r="O12" s="2" t="inlineStr"/>
      <c r="P12" s="2" t="inlineStr"/>
      <c r="Q12" s="2" t="inlineStr"/>
      <c r="R12" s="2" t="inlineStr"/>
    </row>
    <row r="13">
      <c r="A13" s="2" t="inlineStr">
        <is>
          <t>D12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>
        <f>IF(COUNTA(F13:J13)=0,"",ROUND((F13+G13+H13+I13+(10-J13))/5,1))</f>
        <v/>
      </c>
      <c r="L13" s="2">
        <f>IF(K13="","",IF(K13&gt;=8,"A",IF(K13&gt;=6,"B","C")))</f>
        <v/>
      </c>
      <c r="M13" s="2" t="inlineStr"/>
      <c r="N13" s="2" t="inlineStr">
        <is>
          <t>aguardando_importacao</t>
        </is>
      </c>
      <c r="O13" s="2" t="inlineStr"/>
      <c r="P13" s="2" t="inlineStr"/>
      <c r="Q13" s="2" t="inlineStr"/>
      <c r="R13" s="2" t="inlineStr"/>
    </row>
    <row r="14">
      <c r="A14" s="2" t="inlineStr">
        <is>
          <t>D13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>
        <f>IF(COUNTA(F14:J14)=0,"",ROUND((F14+G14+H14+I14+(10-J14))/5,1))</f>
        <v/>
      </c>
      <c r="L14" s="2">
        <f>IF(K14="","",IF(K14&gt;=8,"A",IF(K14&gt;=6,"B","C")))</f>
        <v/>
      </c>
      <c r="M14" s="2" t="inlineStr"/>
      <c r="N14" s="2" t="inlineStr">
        <is>
          <t>aguardando_importacao</t>
        </is>
      </c>
      <c r="O14" s="2" t="inlineStr"/>
      <c r="P14" s="2" t="inlineStr"/>
      <c r="Q14" s="2" t="inlineStr"/>
      <c r="R14" s="2" t="inlineStr"/>
    </row>
    <row r="15">
      <c r="A15" s="2" t="inlineStr">
        <is>
          <t>D14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>
        <f>IF(COUNTA(F15:J15)=0,"",ROUND((F15+G15+H15+I15+(10-J15))/5,1))</f>
        <v/>
      </c>
      <c r="L15" s="2">
        <f>IF(K15="","",IF(K15&gt;=8,"A",IF(K15&gt;=6,"B","C")))</f>
        <v/>
      </c>
      <c r="M15" s="2" t="inlineStr"/>
      <c r="N15" s="2" t="inlineStr">
        <is>
          <t>aguardando_importacao</t>
        </is>
      </c>
      <c r="O15" s="2" t="inlineStr"/>
      <c r="P15" s="2" t="inlineStr"/>
      <c r="Q15" s="2" t="inlineStr"/>
      <c r="R15" s="2" t="inlineStr"/>
    </row>
    <row r="16">
      <c r="A16" s="2" t="inlineStr">
        <is>
          <t>D15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>
        <f>IF(COUNTA(F16:J16)=0,"",ROUND((F16+G16+H16+I16+(10-J16))/5,1))</f>
        <v/>
      </c>
      <c r="L16" s="2">
        <f>IF(K16="","",IF(K16&gt;=8,"A",IF(K16&gt;=6,"B","C")))</f>
        <v/>
      </c>
      <c r="M16" s="2" t="inlineStr"/>
      <c r="N16" s="2" t="inlineStr">
        <is>
          <t>aguardando_importacao</t>
        </is>
      </c>
      <c r="O16" s="2" t="inlineStr"/>
      <c r="P16" s="2" t="inlineStr"/>
      <c r="Q16" s="2" t="inlineStr"/>
      <c r="R16" s="2" t="inlineStr"/>
    </row>
    <row r="17">
      <c r="A17" s="2" t="inlineStr">
        <is>
          <t>D16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>
        <f>IF(COUNTA(F17:J17)=0,"",ROUND((F17+G17+H17+I17+(10-J17))/5,1))</f>
        <v/>
      </c>
      <c r="L17" s="2">
        <f>IF(K17="","",IF(K17&gt;=8,"A",IF(K17&gt;=6,"B","C")))</f>
        <v/>
      </c>
      <c r="M17" s="2" t="inlineStr"/>
      <c r="N17" s="2" t="inlineStr">
        <is>
          <t>aguardando_importacao</t>
        </is>
      </c>
      <c r="O17" s="2" t="inlineStr"/>
      <c r="P17" s="2" t="inlineStr"/>
      <c r="Q17" s="2" t="inlineStr"/>
      <c r="R17" s="2" t="inlineStr"/>
    </row>
    <row r="18">
      <c r="A18" s="2" t="inlineStr">
        <is>
          <t>D17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>
        <f>IF(COUNTA(F18:J18)=0,"",ROUND((F18+G18+H18+I18+(10-J18))/5,1))</f>
        <v/>
      </c>
      <c r="L18" s="2">
        <f>IF(K18="","",IF(K18&gt;=8,"A",IF(K18&gt;=6,"B","C")))</f>
        <v/>
      </c>
      <c r="M18" s="2" t="inlineStr"/>
      <c r="N18" s="2" t="inlineStr">
        <is>
          <t>aguardando_importacao</t>
        </is>
      </c>
      <c r="O18" s="2" t="inlineStr"/>
      <c r="P18" s="2" t="inlineStr"/>
      <c r="Q18" s="2" t="inlineStr"/>
      <c r="R18" s="2" t="inlineStr"/>
    </row>
    <row r="19">
      <c r="A19" s="2" t="inlineStr">
        <is>
          <t>D18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>
        <f>IF(COUNTA(F19:J19)=0,"",ROUND((F19+G19+H19+I19+(10-J19))/5,1))</f>
        <v/>
      </c>
      <c r="L19" s="2">
        <f>IF(K19="","",IF(K19&gt;=8,"A",IF(K19&gt;=6,"B","C")))</f>
        <v/>
      </c>
      <c r="M19" s="2" t="inlineStr"/>
      <c r="N19" s="2" t="inlineStr">
        <is>
          <t>aguardando_importacao</t>
        </is>
      </c>
      <c r="O19" s="2" t="inlineStr"/>
      <c r="P19" s="2" t="inlineStr"/>
      <c r="Q19" s="2" t="inlineStr"/>
      <c r="R19" s="2" t="inlineStr"/>
    </row>
    <row r="20">
      <c r="A20" s="2" t="inlineStr">
        <is>
          <t>D19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>
        <f>IF(COUNTA(F20:J20)=0,"",ROUND((F20+G20+H20+I20+(10-J20))/5,1))</f>
        <v/>
      </c>
      <c r="L20" s="2">
        <f>IF(K20="","",IF(K20&gt;=8,"A",IF(K20&gt;=6,"B","C")))</f>
        <v/>
      </c>
      <c r="M20" s="2" t="inlineStr"/>
      <c r="N20" s="2" t="inlineStr">
        <is>
          <t>aguardando_importacao</t>
        </is>
      </c>
      <c r="O20" s="2" t="inlineStr"/>
      <c r="P20" s="2" t="inlineStr"/>
      <c r="Q20" s="2" t="inlineStr"/>
      <c r="R20" s="2" t="inlineStr"/>
    </row>
    <row r="21">
      <c r="A21" s="2" t="inlineStr">
        <is>
          <t>D20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>
        <f>IF(COUNTA(F21:J21)=0,"",ROUND((F21+G21+H21+I21+(10-J21))/5,1))</f>
        <v/>
      </c>
      <c r="L21" s="2">
        <f>IF(K21="","",IF(K21&gt;=8,"A",IF(K21&gt;=6,"B","C")))</f>
        <v/>
      </c>
      <c r="M21" s="2" t="inlineStr"/>
      <c r="N21" s="2" t="inlineStr">
        <is>
          <t>aguardando_importacao</t>
        </is>
      </c>
      <c r="O21" s="2" t="inlineStr"/>
      <c r="P21" s="2" t="inlineStr"/>
      <c r="Q21" s="2" t="inlineStr"/>
      <c r="R21" s="2" t="inlineStr"/>
    </row>
    <row r="22">
      <c r="A22" s="2" t="inlineStr">
        <is>
          <t>D21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>
        <f>IF(COUNTA(F22:J22)=0,"",ROUND((F22+G22+H22+I22+(10-J22))/5,1))</f>
        <v/>
      </c>
      <c r="L22" s="2">
        <f>IF(K22="","",IF(K22&gt;=8,"A",IF(K22&gt;=6,"B","C")))</f>
        <v/>
      </c>
      <c r="M22" s="2" t="inlineStr"/>
      <c r="N22" s="2" t="inlineStr">
        <is>
          <t>aguardando_importacao</t>
        </is>
      </c>
      <c r="O22" s="2" t="inlineStr"/>
      <c r="P22" s="2" t="inlineStr"/>
      <c r="Q22" s="2" t="inlineStr"/>
      <c r="R22" s="2" t="inlineStr"/>
    </row>
    <row r="23">
      <c r="A23" s="2" t="inlineStr">
        <is>
          <t>D22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>
        <f>IF(COUNTA(F23:J23)=0,"",ROUND((F23+G23+H23+I23+(10-J23))/5,1))</f>
        <v/>
      </c>
      <c r="L23" s="2">
        <f>IF(K23="","",IF(K23&gt;=8,"A",IF(K23&gt;=6,"B","C")))</f>
        <v/>
      </c>
      <c r="M23" s="2" t="inlineStr"/>
      <c r="N23" s="2" t="inlineStr">
        <is>
          <t>aguardando_importacao</t>
        </is>
      </c>
      <c r="O23" s="2" t="inlineStr"/>
      <c r="P23" s="2" t="inlineStr"/>
      <c r="Q23" s="2" t="inlineStr"/>
      <c r="R23" s="2" t="inlineStr"/>
    </row>
    <row r="24">
      <c r="A24" s="2" t="inlineStr">
        <is>
          <t>D23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>
        <f>IF(COUNTA(F24:J24)=0,"",ROUND((F24+G24+H24+I24+(10-J24))/5,1))</f>
        <v/>
      </c>
      <c r="L24" s="2">
        <f>IF(K24="","",IF(K24&gt;=8,"A",IF(K24&gt;=6,"B","C")))</f>
        <v/>
      </c>
      <c r="M24" s="2" t="inlineStr"/>
      <c r="N24" s="2" t="inlineStr">
        <is>
          <t>aguardando_importacao</t>
        </is>
      </c>
      <c r="O24" s="2" t="inlineStr"/>
      <c r="P24" s="2" t="inlineStr"/>
      <c r="Q24" s="2" t="inlineStr"/>
      <c r="R24" s="2" t="inlineStr"/>
    </row>
    <row r="25">
      <c r="A25" s="2" t="inlineStr">
        <is>
          <t>D24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>
        <f>IF(COUNTA(F25:J25)=0,"",ROUND((F25+G25+H25+I25+(10-J25))/5,1))</f>
        <v/>
      </c>
      <c r="L25" s="2">
        <f>IF(K25="","",IF(K25&gt;=8,"A",IF(K25&gt;=6,"B","C")))</f>
        <v/>
      </c>
      <c r="M25" s="2" t="inlineStr"/>
      <c r="N25" s="2" t="inlineStr">
        <is>
          <t>aguardando_importacao</t>
        </is>
      </c>
      <c r="O25" s="2" t="inlineStr"/>
      <c r="P25" s="2" t="inlineStr"/>
      <c r="Q25" s="2" t="inlineStr"/>
      <c r="R25" s="2" t="inlineStr"/>
    </row>
    <row r="26">
      <c r="A26" s="2" t="inlineStr">
        <is>
          <t>D25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>
        <f>IF(COUNTA(F26:J26)=0,"",ROUND((F26+G26+H26+I26+(10-J26))/5,1))</f>
        <v/>
      </c>
      <c r="L26" s="2">
        <f>IF(K26="","",IF(K26&gt;=8,"A",IF(K26&gt;=6,"B","C")))</f>
        <v/>
      </c>
      <c r="M26" s="2" t="inlineStr"/>
      <c r="N26" s="2" t="inlineStr">
        <is>
          <t>aguardando_importacao</t>
        </is>
      </c>
      <c r="O26" s="2" t="inlineStr"/>
      <c r="P26" s="2" t="inlineStr"/>
      <c r="Q26" s="2" t="inlineStr"/>
      <c r="R26" s="2" t="inlineStr"/>
    </row>
    <row r="27">
      <c r="A27" s="2" t="inlineStr">
        <is>
          <t>D26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>
        <f>IF(COUNTA(F27:J27)=0,"",ROUND((F27+G27+H27+I27+(10-J27))/5,1))</f>
        <v/>
      </c>
      <c r="L27" s="2">
        <f>IF(K27="","",IF(K27&gt;=8,"A",IF(K27&gt;=6,"B","C")))</f>
        <v/>
      </c>
      <c r="M27" s="2" t="inlineStr"/>
      <c r="N27" s="2" t="inlineStr">
        <is>
          <t>aguardando_importacao</t>
        </is>
      </c>
      <c r="O27" s="2" t="inlineStr"/>
      <c r="P27" s="2" t="inlineStr"/>
      <c r="Q27" s="2" t="inlineStr"/>
      <c r="R27" s="2" t="inlineStr"/>
    </row>
    <row r="28">
      <c r="A28" s="2" t="inlineStr">
        <is>
          <t>D27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>
        <f>IF(COUNTA(F28:J28)=0,"",ROUND((F28+G28+H28+I28+(10-J28))/5,1))</f>
        <v/>
      </c>
      <c r="L28" s="2">
        <f>IF(K28="","",IF(K28&gt;=8,"A",IF(K28&gt;=6,"B","C")))</f>
        <v/>
      </c>
      <c r="M28" s="2" t="inlineStr"/>
      <c r="N28" s="2" t="inlineStr">
        <is>
          <t>aguardando_importacao</t>
        </is>
      </c>
      <c r="O28" s="2" t="inlineStr"/>
      <c r="P28" s="2" t="inlineStr"/>
      <c r="Q28" s="2" t="inlineStr"/>
      <c r="R28" s="2" t="inlineStr"/>
    </row>
    <row r="29">
      <c r="A29" s="2" t="inlineStr">
        <is>
          <t>D28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>
        <f>IF(COUNTA(F29:J29)=0,"",ROUND((F29+G29+H29+I29+(10-J29))/5,1))</f>
        <v/>
      </c>
      <c r="L29" s="2">
        <f>IF(K29="","",IF(K29&gt;=8,"A",IF(K29&gt;=6,"B","C")))</f>
        <v/>
      </c>
      <c r="M29" s="2" t="inlineStr"/>
      <c r="N29" s="2" t="inlineStr">
        <is>
          <t>aguardando_importacao</t>
        </is>
      </c>
      <c r="O29" s="2" t="inlineStr"/>
      <c r="P29" s="2" t="inlineStr"/>
      <c r="Q29" s="2" t="inlineStr"/>
      <c r="R29" s="2" t="inlineStr"/>
    </row>
    <row r="30">
      <c r="A30" s="2" t="inlineStr">
        <is>
          <t>D29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>
        <f>IF(COUNTA(F30:J30)=0,"",ROUND((F30+G30+H30+I30+(10-J30))/5,1))</f>
        <v/>
      </c>
      <c r="L30" s="2">
        <f>IF(K30="","",IF(K30&gt;=8,"A",IF(K30&gt;=6,"B","C")))</f>
        <v/>
      </c>
      <c r="M30" s="2" t="inlineStr"/>
      <c r="N30" s="2" t="inlineStr">
        <is>
          <t>aguardando_importacao</t>
        </is>
      </c>
      <c r="O30" s="2" t="inlineStr"/>
      <c r="P30" s="2" t="inlineStr"/>
      <c r="Q30" s="2" t="inlineStr"/>
      <c r="R30" s="2" t="inlineStr"/>
    </row>
    <row r="31">
      <c r="A31" s="2" t="inlineStr">
        <is>
          <t>D30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>
        <f>IF(COUNTA(F31:J31)=0,"",ROUND((F31+G31+H31+I31+(10-J31))/5,1))</f>
        <v/>
      </c>
      <c r="L31" s="2">
        <f>IF(K31="","",IF(K31&gt;=8,"A",IF(K31&gt;=6,"B","C")))</f>
        <v/>
      </c>
      <c r="M31" s="2" t="inlineStr"/>
      <c r="N31" s="2" t="inlineStr">
        <is>
          <t>aguardando_importacao</t>
        </is>
      </c>
      <c r="O31" s="2" t="inlineStr"/>
      <c r="P31" s="2" t="inlineStr"/>
      <c r="Q31" s="2" t="inlineStr"/>
      <c r="R31" s="2" t="inlineStr"/>
    </row>
    <row r="32">
      <c r="A32" s="2" t="inlineStr">
        <is>
          <t>D31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>
        <f>IF(COUNTA(F32:J32)=0,"",ROUND((F32+G32+H32+I32+(10-J32))/5,1))</f>
        <v/>
      </c>
      <c r="L32" s="2">
        <f>IF(K32="","",IF(K32&gt;=8,"A",IF(K32&gt;=6,"B","C")))</f>
        <v/>
      </c>
      <c r="M32" s="2" t="inlineStr"/>
      <c r="N32" s="2" t="inlineStr">
        <is>
          <t>aguardando_importacao</t>
        </is>
      </c>
      <c r="O32" s="2" t="inlineStr"/>
      <c r="P32" s="2" t="inlineStr"/>
      <c r="Q32" s="2" t="inlineStr"/>
      <c r="R32" s="2" t="inlineStr"/>
    </row>
    <row r="33">
      <c r="A33" s="2" t="inlineStr">
        <is>
          <t>D32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>
        <f>IF(COUNTA(F33:J33)=0,"",ROUND((F33+G33+H33+I33+(10-J33))/5,1))</f>
        <v/>
      </c>
      <c r="L33" s="2">
        <f>IF(K33="","",IF(K33&gt;=8,"A",IF(K33&gt;=6,"B","C")))</f>
        <v/>
      </c>
      <c r="M33" s="2" t="inlineStr"/>
      <c r="N33" s="2" t="inlineStr">
        <is>
          <t>aguardando_importacao</t>
        </is>
      </c>
      <c r="O33" s="2" t="inlineStr"/>
      <c r="P33" s="2" t="inlineStr"/>
      <c r="Q33" s="2" t="inlineStr"/>
      <c r="R33" s="2" t="inlineStr"/>
    </row>
    <row r="34">
      <c r="A34" s="2" t="inlineStr">
        <is>
          <t>D33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>
        <f>IF(COUNTA(F34:J34)=0,"",ROUND((F34+G34+H34+I34+(10-J34))/5,1))</f>
        <v/>
      </c>
      <c r="L34" s="2">
        <f>IF(K34="","",IF(K34&gt;=8,"A",IF(K34&gt;=6,"B","C")))</f>
        <v/>
      </c>
      <c r="M34" s="2" t="inlineStr"/>
      <c r="N34" s="2" t="inlineStr">
        <is>
          <t>aguardando_importacao</t>
        </is>
      </c>
      <c r="O34" s="2" t="inlineStr"/>
      <c r="P34" s="2" t="inlineStr"/>
      <c r="Q34" s="2" t="inlineStr"/>
      <c r="R34" s="2" t="inlineStr"/>
    </row>
    <row r="35">
      <c r="A35" s="2" t="inlineStr">
        <is>
          <t>D34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>
        <f>IF(COUNTA(F35:J35)=0,"",ROUND((F35+G35+H35+I35+(10-J35))/5,1))</f>
        <v/>
      </c>
      <c r="L35" s="2">
        <f>IF(K35="","",IF(K35&gt;=8,"A",IF(K35&gt;=6,"B","C")))</f>
        <v/>
      </c>
      <c r="M35" s="2" t="inlineStr"/>
      <c r="N35" s="2" t="inlineStr">
        <is>
          <t>aguardando_importacao</t>
        </is>
      </c>
      <c r="O35" s="2" t="inlineStr"/>
      <c r="P35" s="2" t="inlineStr"/>
      <c r="Q35" s="2" t="inlineStr"/>
      <c r="R35" s="2" t="inlineStr"/>
    </row>
    <row r="36">
      <c r="A36" s="2" t="inlineStr">
        <is>
          <t>D35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>
        <f>IF(COUNTA(F36:J36)=0,"",ROUND((F36+G36+H36+I36+(10-J36))/5,1))</f>
        <v/>
      </c>
      <c r="L36" s="2">
        <f>IF(K36="","",IF(K36&gt;=8,"A",IF(K36&gt;=6,"B","C")))</f>
        <v/>
      </c>
      <c r="M36" s="2" t="inlineStr"/>
      <c r="N36" s="2" t="inlineStr">
        <is>
          <t>aguardando_importacao</t>
        </is>
      </c>
      <c r="O36" s="2" t="inlineStr"/>
      <c r="P36" s="2" t="inlineStr"/>
      <c r="Q36" s="2" t="inlineStr"/>
      <c r="R36" s="2" t="inlineStr"/>
    </row>
    <row r="37">
      <c r="A37" s="2" t="inlineStr">
        <is>
          <t>D36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>
        <f>IF(COUNTA(F37:J37)=0,"",ROUND((F37+G37+H37+I37+(10-J37))/5,1))</f>
        <v/>
      </c>
      <c r="L37" s="2">
        <f>IF(K37="","",IF(K37&gt;=8,"A",IF(K37&gt;=6,"B","C")))</f>
        <v/>
      </c>
      <c r="M37" s="2" t="inlineStr"/>
      <c r="N37" s="2" t="inlineStr">
        <is>
          <t>aguardando_importacao</t>
        </is>
      </c>
      <c r="O37" s="2" t="inlineStr"/>
      <c r="P37" s="2" t="inlineStr"/>
      <c r="Q37" s="2" t="inlineStr"/>
      <c r="R37" s="2" t="inlineStr"/>
    </row>
    <row r="38">
      <c r="A38" s="2" t="inlineStr">
        <is>
          <t>D37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>
        <f>IF(COUNTA(F38:J38)=0,"",ROUND((F38+G38+H38+I38+(10-J38))/5,1))</f>
        <v/>
      </c>
      <c r="L38" s="2">
        <f>IF(K38="","",IF(K38&gt;=8,"A",IF(K38&gt;=6,"B","C")))</f>
        <v/>
      </c>
      <c r="M38" s="2" t="inlineStr"/>
      <c r="N38" s="2" t="inlineStr">
        <is>
          <t>aguardando_importacao</t>
        </is>
      </c>
      <c r="O38" s="2" t="inlineStr"/>
      <c r="P38" s="2" t="inlineStr"/>
      <c r="Q38" s="2" t="inlineStr"/>
      <c r="R38" s="2" t="inlineStr"/>
    </row>
    <row r="39">
      <c r="A39" s="2" t="inlineStr">
        <is>
          <t>D38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>
        <f>IF(COUNTA(F39:J39)=0,"",ROUND((F39+G39+H39+I39+(10-J39))/5,1))</f>
        <v/>
      </c>
      <c r="L39" s="2">
        <f>IF(K39="","",IF(K39&gt;=8,"A",IF(K39&gt;=6,"B","C")))</f>
        <v/>
      </c>
      <c r="M39" s="2" t="inlineStr"/>
      <c r="N39" s="2" t="inlineStr">
        <is>
          <t>aguardando_importacao</t>
        </is>
      </c>
      <c r="O39" s="2" t="inlineStr"/>
      <c r="P39" s="2" t="inlineStr"/>
      <c r="Q39" s="2" t="inlineStr"/>
      <c r="R39" s="2" t="inlineStr"/>
    </row>
    <row r="40">
      <c r="A40" s="2" t="inlineStr">
        <is>
          <t>D39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>
        <f>IF(COUNTA(F40:J40)=0,"",ROUND((F40+G40+H40+I40+(10-J40))/5,1))</f>
        <v/>
      </c>
      <c r="L40" s="2">
        <f>IF(K40="","",IF(K40&gt;=8,"A",IF(K40&gt;=6,"B","C")))</f>
        <v/>
      </c>
      <c r="M40" s="2" t="inlineStr"/>
      <c r="N40" s="2" t="inlineStr">
        <is>
          <t>aguardando_importacao</t>
        </is>
      </c>
      <c r="O40" s="2" t="inlineStr"/>
      <c r="P40" s="2" t="inlineStr"/>
      <c r="Q40" s="2" t="inlineStr"/>
      <c r="R40" s="2" t="inlineStr"/>
    </row>
    <row r="41">
      <c r="A41" s="2" t="inlineStr">
        <is>
          <t>D40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>
        <f>IF(COUNTA(F41:J41)=0,"",ROUND((F41+G41+H41+I41+(10-J41))/5,1))</f>
        <v/>
      </c>
      <c r="L41" s="2">
        <f>IF(K41="","",IF(K41&gt;=8,"A",IF(K41&gt;=6,"B","C")))</f>
        <v/>
      </c>
      <c r="M41" s="2" t="inlineStr"/>
      <c r="N41" s="2" t="inlineStr">
        <is>
          <t>aguardando_importacao</t>
        </is>
      </c>
      <c r="O41" s="2" t="inlineStr"/>
      <c r="P41" s="2" t="inlineStr"/>
      <c r="Q41" s="2" t="inlineStr"/>
      <c r="R41" s="2" t="inlineStr"/>
    </row>
    <row r="42">
      <c r="A42" s="2" t="inlineStr">
        <is>
          <t>D41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>
        <f>IF(COUNTA(F42:J42)=0,"",ROUND((F42+G42+H42+I42+(10-J42))/5,1))</f>
        <v/>
      </c>
      <c r="L42" s="2">
        <f>IF(K42="","",IF(K42&gt;=8,"A",IF(K42&gt;=6,"B","C")))</f>
        <v/>
      </c>
      <c r="M42" s="2" t="inlineStr"/>
      <c r="N42" s="2" t="inlineStr">
        <is>
          <t>aguardando_importacao</t>
        </is>
      </c>
      <c r="O42" s="2" t="inlineStr"/>
      <c r="P42" s="2" t="inlineStr"/>
      <c r="Q42" s="2" t="inlineStr"/>
      <c r="R42" s="2" t="inlineStr"/>
    </row>
    <row r="43">
      <c r="A43" s="2" t="inlineStr">
        <is>
          <t>D42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>
        <f>IF(COUNTA(F43:J43)=0,"",ROUND((F43+G43+H43+I43+(10-J43))/5,1))</f>
        <v/>
      </c>
      <c r="L43" s="2">
        <f>IF(K43="","",IF(K43&gt;=8,"A",IF(K43&gt;=6,"B","C")))</f>
        <v/>
      </c>
      <c r="M43" s="2" t="inlineStr"/>
      <c r="N43" s="2" t="inlineStr">
        <is>
          <t>aguardando_importacao</t>
        </is>
      </c>
      <c r="O43" s="2" t="inlineStr"/>
      <c r="P43" s="2" t="inlineStr"/>
      <c r="Q43" s="2" t="inlineStr"/>
      <c r="R43" s="2" t="inlineStr"/>
    </row>
    <row r="44">
      <c r="A44" s="2" t="inlineStr">
        <is>
          <t>D43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>
        <f>IF(COUNTA(F44:J44)=0,"",ROUND((F44+G44+H44+I44+(10-J44))/5,1))</f>
        <v/>
      </c>
      <c r="L44" s="2">
        <f>IF(K44="","",IF(K44&gt;=8,"A",IF(K44&gt;=6,"B","C")))</f>
        <v/>
      </c>
      <c r="M44" s="2" t="inlineStr"/>
      <c r="N44" s="2" t="inlineStr">
        <is>
          <t>aguardando_importacao</t>
        </is>
      </c>
      <c r="O44" s="2" t="inlineStr"/>
      <c r="P44" s="2" t="inlineStr"/>
      <c r="Q44" s="2" t="inlineStr"/>
      <c r="R44" s="2" t="inlineStr"/>
    </row>
    <row r="45">
      <c r="A45" s="2" t="inlineStr">
        <is>
          <t>D44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>
        <f>IF(COUNTA(F45:J45)=0,"",ROUND((F45+G45+H45+I45+(10-J45))/5,1))</f>
        <v/>
      </c>
      <c r="L45" s="2">
        <f>IF(K45="","",IF(K45&gt;=8,"A",IF(K45&gt;=6,"B","C")))</f>
        <v/>
      </c>
      <c r="M45" s="2" t="inlineStr"/>
      <c r="N45" s="2" t="inlineStr">
        <is>
          <t>aguardando_importacao</t>
        </is>
      </c>
      <c r="O45" s="2" t="inlineStr"/>
      <c r="P45" s="2" t="inlineStr"/>
      <c r="Q45" s="2" t="inlineStr"/>
      <c r="R45" s="2" t="inlineStr"/>
    </row>
    <row r="46">
      <c r="A46" s="2" t="inlineStr">
        <is>
          <t>D45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>
        <f>IF(COUNTA(F46:J46)=0,"",ROUND((F46+G46+H46+I46+(10-J46))/5,1))</f>
        <v/>
      </c>
      <c r="L46" s="2">
        <f>IF(K46="","",IF(K46&gt;=8,"A",IF(K46&gt;=6,"B","C")))</f>
        <v/>
      </c>
      <c r="M46" s="2" t="inlineStr"/>
      <c r="N46" s="2" t="inlineStr">
        <is>
          <t>aguardando_importacao</t>
        </is>
      </c>
      <c r="O46" s="2" t="inlineStr"/>
      <c r="P46" s="2" t="inlineStr"/>
      <c r="Q46" s="2" t="inlineStr"/>
      <c r="R46" s="2" t="inlineStr"/>
    </row>
    <row r="47">
      <c r="A47" s="2" t="inlineStr">
        <is>
          <t>D46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>
        <f>IF(COUNTA(F47:J47)=0,"",ROUND((F47+G47+H47+I47+(10-J47))/5,1))</f>
        <v/>
      </c>
      <c r="L47" s="2">
        <f>IF(K47="","",IF(K47&gt;=8,"A",IF(K47&gt;=6,"B","C")))</f>
        <v/>
      </c>
      <c r="M47" s="2" t="inlineStr"/>
      <c r="N47" s="2" t="inlineStr">
        <is>
          <t>aguardando_importacao</t>
        </is>
      </c>
      <c r="O47" s="2" t="inlineStr"/>
      <c r="P47" s="2" t="inlineStr"/>
      <c r="Q47" s="2" t="inlineStr"/>
      <c r="R47" s="2" t="inlineStr"/>
    </row>
    <row r="48">
      <c r="A48" s="2" t="inlineStr">
        <is>
          <t>D47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>
        <f>IF(COUNTA(F48:J48)=0,"",ROUND((F48+G48+H48+I48+(10-J48))/5,1))</f>
        <v/>
      </c>
      <c r="L48" s="2">
        <f>IF(K48="","",IF(K48&gt;=8,"A",IF(K48&gt;=6,"B","C")))</f>
        <v/>
      </c>
      <c r="M48" s="2" t="inlineStr"/>
      <c r="N48" s="2" t="inlineStr">
        <is>
          <t>aguardando_importacao</t>
        </is>
      </c>
      <c r="O48" s="2" t="inlineStr"/>
      <c r="P48" s="2" t="inlineStr"/>
      <c r="Q48" s="2" t="inlineStr"/>
      <c r="R48" s="2" t="inlineStr"/>
    </row>
    <row r="49">
      <c r="A49" s="2" t="inlineStr">
        <is>
          <t>D48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>
        <f>IF(COUNTA(F49:J49)=0,"",ROUND((F49+G49+H49+I49+(10-J49))/5,1))</f>
        <v/>
      </c>
      <c r="L49" s="2">
        <f>IF(K49="","",IF(K49&gt;=8,"A",IF(K49&gt;=6,"B","C")))</f>
        <v/>
      </c>
      <c r="M49" s="2" t="inlineStr"/>
      <c r="N49" s="2" t="inlineStr">
        <is>
          <t>aguardando_importacao</t>
        </is>
      </c>
      <c r="O49" s="2" t="inlineStr"/>
      <c r="P49" s="2" t="inlineStr"/>
      <c r="Q49" s="2" t="inlineStr"/>
      <c r="R49" s="2" t="inlineStr"/>
    </row>
    <row r="50">
      <c r="A50" s="2" t="inlineStr">
        <is>
          <t>D49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>
        <f>IF(COUNTA(F50:J50)=0,"",ROUND((F50+G50+H50+I50+(10-J50))/5,1))</f>
        <v/>
      </c>
      <c r="L50" s="2">
        <f>IF(K50="","",IF(K50&gt;=8,"A",IF(K50&gt;=6,"B","C")))</f>
        <v/>
      </c>
      <c r="M50" s="2" t="inlineStr"/>
      <c r="N50" s="2" t="inlineStr">
        <is>
          <t>aguardando_importacao</t>
        </is>
      </c>
      <c r="O50" s="2" t="inlineStr"/>
      <c r="P50" s="2" t="inlineStr"/>
      <c r="Q50" s="2" t="inlineStr"/>
      <c r="R50" s="2" t="inlineStr"/>
    </row>
    <row r="51">
      <c r="A51" s="2" t="inlineStr">
        <is>
          <t>D50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>
        <f>IF(COUNTA(F51:J51)=0,"",ROUND((F51+G51+H51+I51+(10-J51))/5,1))</f>
        <v/>
      </c>
      <c r="L51" s="2">
        <f>IF(K51="","",IF(K51&gt;=8,"A",IF(K51&gt;=6,"B","C")))</f>
        <v/>
      </c>
      <c r="M51" s="2" t="inlineStr"/>
      <c r="N51" s="2" t="inlineStr">
        <is>
          <t>aguardando_importacao</t>
        </is>
      </c>
      <c r="O51" s="2" t="inlineStr"/>
      <c r="P51" s="2" t="inlineStr"/>
      <c r="Q51" s="2" t="inlineStr"/>
      <c r="R51" s="2" t="inlineStr"/>
    </row>
    <row r="52">
      <c r="A52" s="2" t="inlineStr">
        <is>
          <t>D51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>
        <f>IF(COUNTA(F52:J52)=0,"",ROUND((F52+G52+H52+I52+(10-J52))/5,1))</f>
        <v/>
      </c>
      <c r="L52" s="2">
        <f>IF(K52="","",IF(K52&gt;=8,"A",IF(K52&gt;=6,"B","C")))</f>
        <v/>
      </c>
      <c r="M52" s="2" t="inlineStr"/>
      <c r="N52" s="2" t="inlineStr">
        <is>
          <t>aguardando_importacao</t>
        </is>
      </c>
      <c r="O52" s="2" t="inlineStr"/>
      <c r="P52" s="2" t="inlineStr"/>
      <c r="Q52" s="2" t="inlineStr"/>
      <c r="R52" s="2" t="inlineStr"/>
    </row>
    <row r="53">
      <c r="A53" s="2" t="inlineStr">
        <is>
          <t>D52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>
        <f>IF(COUNTA(F53:J53)=0,"",ROUND((F53+G53+H53+I53+(10-J53))/5,1))</f>
        <v/>
      </c>
      <c r="L53" s="2">
        <f>IF(K53="","",IF(K53&gt;=8,"A",IF(K53&gt;=6,"B","C")))</f>
        <v/>
      </c>
      <c r="M53" s="2" t="inlineStr"/>
      <c r="N53" s="2" t="inlineStr">
        <is>
          <t>aguardando_importacao</t>
        </is>
      </c>
      <c r="O53" s="2" t="inlineStr"/>
      <c r="P53" s="2" t="inlineStr"/>
      <c r="Q53" s="2" t="inlineStr"/>
      <c r="R53" s="2" t="inlineStr"/>
    </row>
    <row r="54">
      <c r="A54" s="2" t="inlineStr">
        <is>
          <t>D53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>
        <f>IF(COUNTA(F54:J54)=0,"",ROUND((F54+G54+H54+I54+(10-J54))/5,1))</f>
        <v/>
      </c>
      <c r="L54" s="2">
        <f>IF(K54="","",IF(K54&gt;=8,"A",IF(K54&gt;=6,"B","C")))</f>
        <v/>
      </c>
      <c r="M54" s="2" t="inlineStr"/>
      <c r="N54" s="2" t="inlineStr">
        <is>
          <t>aguardando_importacao</t>
        </is>
      </c>
      <c r="O54" s="2" t="inlineStr"/>
      <c r="P54" s="2" t="inlineStr"/>
      <c r="Q54" s="2" t="inlineStr"/>
      <c r="R54" s="2" t="inlineStr"/>
    </row>
    <row r="55">
      <c r="A55" s="2" t="inlineStr">
        <is>
          <t>D54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>
        <f>IF(COUNTA(F55:J55)=0,"",ROUND((F55+G55+H55+I55+(10-J55))/5,1))</f>
        <v/>
      </c>
      <c r="L55" s="2">
        <f>IF(K55="","",IF(K55&gt;=8,"A",IF(K55&gt;=6,"B","C")))</f>
        <v/>
      </c>
      <c r="M55" s="2" t="inlineStr"/>
      <c r="N55" s="2" t="inlineStr">
        <is>
          <t>aguardando_importacao</t>
        </is>
      </c>
      <c r="O55" s="2" t="inlineStr"/>
      <c r="P55" s="2" t="inlineStr"/>
      <c r="Q55" s="2" t="inlineStr"/>
      <c r="R55" s="2" t="inlineStr"/>
    </row>
    <row r="56">
      <c r="A56" s="2" t="inlineStr">
        <is>
          <t>D55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>
        <f>IF(COUNTA(F56:J56)=0,"",ROUND((F56+G56+H56+I56+(10-J56))/5,1))</f>
        <v/>
      </c>
      <c r="L56" s="2">
        <f>IF(K56="","",IF(K56&gt;=8,"A",IF(K56&gt;=6,"B","C")))</f>
        <v/>
      </c>
      <c r="M56" s="2" t="inlineStr"/>
      <c r="N56" s="2" t="inlineStr">
        <is>
          <t>aguardando_importacao</t>
        </is>
      </c>
      <c r="O56" s="2" t="inlineStr"/>
      <c r="P56" s="2" t="inlineStr"/>
      <c r="Q56" s="2" t="inlineStr"/>
      <c r="R56" s="2" t="inlineStr"/>
    </row>
    <row r="57">
      <c r="A57" s="2" t="inlineStr">
        <is>
          <t>D56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>
        <f>IF(COUNTA(F57:J57)=0,"",ROUND((F57+G57+H57+I57+(10-J57))/5,1))</f>
        <v/>
      </c>
      <c r="L57" s="2">
        <f>IF(K57="","",IF(K57&gt;=8,"A",IF(K57&gt;=6,"B","C")))</f>
        <v/>
      </c>
      <c r="M57" s="2" t="inlineStr"/>
      <c r="N57" s="2" t="inlineStr">
        <is>
          <t>aguardando_importacao</t>
        </is>
      </c>
      <c r="O57" s="2" t="inlineStr"/>
      <c r="P57" s="2" t="inlineStr"/>
      <c r="Q57" s="2" t="inlineStr"/>
      <c r="R57" s="2" t="inlineStr"/>
    </row>
    <row r="58">
      <c r="A58" s="2" t="inlineStr">
        <is>
          <t>D57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>
        <f>IF(COUNTA(F58:J58)=0,"",ROUND((F58+G58+H58+I58+(10-J58))/5,1))</f>
        <v/>
      </c>
      <c r="L58" s="2">
        <f>IF(K58="","",IF(K58&gt;=8,"A",IF(K58&gt;=6,"B","C")))</f>
        <v/>
      </c>
      <c r="M58" s="2" t="inlineStr"/>
      <c r="N58" s="2" t="inlineStr">
        <is>
          <t>aguardando_importacao</t>
        </is>
      </c>
      <c r="O58" s="2" t="inlineStr"/>
      <c r="P58" s="2" t="inlineStr"/>
      <c r="Q58" s="2" t="inlineStr"/>
      <c r="R58" s="2" t="inlineStr"/>
    </row>
    <row r="59">
      <c r="A59" s="2" t="inlineStr">
        <is>
          <t>D58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>
        <f>IF(COUNTA(F59:J59)=0,"",ROUND((F59+G59+H59+I59+(10-J59))/5,1))</f>
        <v/>
      </c>
      <c r="L59" s="2">
        <f>IF(K59="","",IF(K59&gt;=8,"A",IF(K59&gt;=6,"B","C")))</f>
        <v/>
      </c>
      <c r="M59" s="2" t="inlineStr"/>
      <c r="N59" s="2" t="inlineStr">
        <is>
          <t>aguardando_importacao</t>
        </is>
      </c>
      <c r="O59" s="2" t="inlineStr"/>
      <c r="P59" s="2" t="inlineStr"/>
      <c r="Q59" s="2" t="inlineStr"/>
      <c r="R59" s="2" t="inlineStr"/>
    </row>
    <row r="60">
      <c r="A60" s="2" t="inlineStr">
        <is>
          <t>D59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>
        <f>IF(COUNTA(F60:J60)=0,"",ROUND((F60+G60+H60+I60+(10-J60))/5,1))</f>
        <v/>
      </c>
      <c r="L60" s="2">
        <f>IF(K60="","",IF(K60&gt;=8,"A",IF(K60&gt;=6,"B","C")))</f>
        <v/>
      </c>
      <c r="M60" s="2" t="inlineStr"/>
      <c r="N60" s="2" t="inlineStr">
        <is>
          <t>aguardando_importacao</t>
        </is>
      </c>
      <c r="O60" s="2" t="inlineStr"/>
      <c r="P60" s="2" t="inlineStr"/>
      <c r="Q60" s="2" t="inlineStr"/>
      <c r="R60" s="2" t="inlineStr"/>
    </row>
    <row r="61">
      <c r="A61" s="2" t="inlineStr">
        <is>
          <t>D60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>
        <f>IF(COUNTA(F61:J61)=0,"",ROUND((F61+G61+H61+I61+(10-J61))/5,1))</f>
        <v/>
      </c>
      <c r="L61" s="2">
        <f>IF(K61="","",IF(K61&gt;=8,"A",IF(K61&gt;=6,"B","C")))</f>
        <v/>
      </c>
      <c r="M61" s="2" t="inlineStr"/>
      <c r="N61" s="2" t="inlineStr">
        <is>
          <t>aguardando_importacao</t>
        </is>
      </c>
      <c r="O61" s="2" t="inlineStr"/>
      <c r="P61" s="2" t="inlineStr"/>
      <c r="Q61" s="2" t="inlineStr"/>
      <c r="R61" s="2" t="inlineStr"/>
    </row>
  </sheetData>
  <autoFilter ref="A1:R61"/>
  <dataValidations count="3">
    <dataValidation sqref="F2:J61" showDropDown="0" showInputMessage="0" showErrorMessage="0" allowBlank="1" error="Valor invalido. Use um numero inteiro de 0 a 10." prompt="Use um numero inteiro de 0 a 10." type="whole" operator="between">
      <formula1>0</formula1>
      <formula2>10</formula2>
    </dataValidation>
    <dataValidation sqref="N2:N61" showDropDown="0" showInputMessage="0" showErrorMessage="0" allowBlank="1" type="list">
      <formula1>"aguardando_importacao,em_analise,validado,descartado"</formula1>
    </dataValidation>
    <dataValidation sqref="M2:M61" showDropDown="0" showInputMessage="0" showErrorMessage="0" allowBlank="1" type="list">
      <formula1>"reels,youtube_curto,youtube_longo,ebook,carrossel,newsletter"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52" customWidth="1" min="4" max="4"/>
    <col width="12" customWidth="1" min="5" max="5"/>
    <col width="42" customWidth="1" min="6" max="6"/>
    <col width="34" customWidth="1" min="7" max="7"/>
  </cols>
  <sheetData>
    <row r="1">
      <c r="A1" s="1" t="inlineStr">
        <is>
          <t>fonte_id</t>
        </is>
      </c>
      <c r="B1" s="1" t="inlineStr">
        <is>
          <t>categoria</t>
        </is>
      </c>
      <c r="C1" s="1" t="inlineStr">
        <is>
          <t>titulo</t>
        </is>
      </c>
      <c r="D1" s="1" t="inlineStr">
        <is>
          <t>url_ou_path</t>
        </is>
      </c>
      <c r="E1" s="1" t="inlineStr">
        <is>
          <t>status</t>
        </is>
      </c>
      <c r="F1" s="1" t="inlineStr">
        <is>
          <t>descricao</t>
        </is>
      </c>
      <c r="G1" s="1" t="inlineStr">
        <is>
          <t>observacoes</t>
        </is>
      </c>
    </row>
    <row r="2">
      <c r="A2" s="2" t="inlineStr">
        <is>
          <t>F01</t>
        </is>
      </c>
      <c r="B2" s="2" t="inlineStr">
        <is>
          <t>dado primario</t>
        </is>
      </c>
      <c r="C2" s="2" t="inlineStr">
        <is>
          <t>YouTube comment signals</t>
        </is>
      </c>
      <c r="D2" s="2" t="inlineStr">
        <is>
          <t>/Users/rafaelrodriguesdasilva/Documents/Agentes - Antigravity/Prof. Rafael/Content/base_de_dados/ebooks_gestao_sala/raw/youtube_comment_signals/2026-04-08/youtube_comment_signals_2026-04-08.csv</t>
        </is>
      </c>
      <c r="E2" s="2" t="inlineStr">
        <is>
          <t>validado</t>
        </is>
      </c>
      <c r="F2" s="2" t="inlineStr">
        <is>
          <t>Base de comentarios e dores extraidas de videos de educacao.</t>
        </is>
      </c>
      <c r="G2" s="2" t="inlineStr">
        <is>
          <t>Usar para validar linguagem de dor, rotina, sobrecarga e primeiro emprego.</t>
        </is>
      </c>
    </row>
    <row r="3">
      <c r="A3" s="2" t="inlineStr">
        <is>
          <t>F02</t>
        </is>
      </c>
      <c r="B3" s="2" t="inlineStr">
        <is>
          <t>dado primario</t>
        </is>
      </c>
      <c r="C3" s="2" t="inlineStr">
        <is>
          <t>Google Trends exports</t>
        </is>
      </c>
      <c r="D3" s="2" t="inlineStr">
        <is>
          <t>/Users/rafaelrodriguesdasilva/Documents/Agentes - Antigravity/Prof. Rafael/Content/base_de_dados/ebooks_gestao_sala/raw/google_trends/2026-04-08_manifest.md</t>
        </is>
      </c>
      <c r="E3" s="2" t="inlineStr">
        <is>
          <t>validado</t>
        </is>
      </c>
      <c r="F3" s="2" t="inlineStr">
        <is>
          <t>Sinal de demanda temporal e recorrencia de termos.</t>
        </is>
      </c>
      <c r="G3" s="2" t="inlineStr">
        <is>
          <t>Usar para separar linguagem de busca de linguagem de venda.</t>
        </is>
      </c>
    </row>
    <row r="4">
      <c r="A4" s="2" t="inlineStr">
        <is>
          <t>F03</t>
        </is>
      </c>
      <c r="B4" s="2" t="inlineStr">
        <is>
          <t>dado primario</t>
        </is>
      </c>
      <c r="C4" s="2" t="inlineStr">
        <is>
          <t>Sales pages and copy texts</t>
        </is>
      </c>
      <c r="D4" s="2" t="inlineStr">
        <is>
          <t>/Users/rafaelrodriguesdasilva/Documents/Agentes - Antigravity/Prof. Rafael/Content/base_de_dados/ebooks_gestao_sala/raw/copy_texts/</t>
        </is>
      </c>
      <c r="E4" s="2" t="inlineStr">
        <is>
          <t>validado</t>
        </is>
      </c>
      <c r="F4" s="2" t="inlineStr">
        <is>
          <t>Copys publicas de e-books, cursos e paginas de venda.</t>
        </is>
      </c>
      <c r="G4" s="2" t="inlineStr">
        <is>
          <t>Usar para estudar promessa, titulo, mecanismo e prova social.</t>
        </is>
      </c>
    </row>
    <row r="5">
      <c r="A5" s="2" t="inlineStr">
        <is>
          <t>F04</t>
        </is>
      </c>
      <c r="B5" s="2" t="inlineStr">
        <is>
          <t>dado primario</t>
        </is>
      </c>
      <c r="C5" s="2" t="inlineStr">
        <is>
          <t>Sales fronts manifest</t>
        </is>
      </c>
      <c r="D5" s="2" t="inlineStr">
        <is>
          <t>/Users/rafaelrodriguesdasilva/Documents/Agentes - Antigravity/Prof. Rafael/Content/base_de_dados/ebooks_gestao_sala/raw/sales_pages/2026-04-08_manifest.md</t>
        </is>
      </c>
      <c r="E5" s="2" t="inlineStr">
        <is>
          <t>validado</t>
        </is>
      </c>
      <c r="F5" s="2" t="inlineStr">
        <is>
          <t>Registro das frentes de venda catalogadas no projeto.</t>
        </is>
      </c>
      <c r="G5" s="2" t="inlineStr">
        <is>
          <t>Usar para cruzar ebook, curso e promessa comercial.</t>
        </is>
      </c>
    </row>
    <row r="6">
      <c r="A6" s="2" t="inlineStr">
        <is>
          <t>F05</t>
        </is>
      </c>
      <c r="B6" s="2" t="inlineStr">
        <is>
          <t>dado secundario</t>
        </is>
      </c>
      <c r="C6" s="2" t="inlineStr">
        <is>
          <t>Market summary</t>
        </is>
      </c>
      <c r="D6" s="2" t="inlineStr">
        <is>
          <t>/Users/rafaelrodriguesdasilva/Documents/Agentes - Antigravity/Prof. Rafael/Content/base_de_dados/ebooks_gestao_sala/resumo_mercado_2026-04-08.md</t>
        </is>
      </c>
      <c r="E6" s="2" t="inlineStr">
        <is>
          <t>validado</t>
        </is>
      </c>
      <c r="F6" s="2" t="inlineStr">
        <is>
          <t>Resumo consolidado das leituras de mercado.</t>
        </is>
      </c>
      <c r="G6" s="2" t="inlineStr">
        <is>
          <t>Usar como sintese de leitura do nicho.</t>
        </is>
      </c>
    </row>
    <row r="7">
      <c r="A7" s="2" t="inlineStr">
        <is>
          <t>F06</t>
        </is>
      </c>
      <c r="B7" s="2" t="inlineStr">
        <is>
          <t>externo</t>
        </is>
      </c>
      <c r="C7" s="2" t="inlineStr">
        <is>
          <t>Gemini shared report</t>
        </is>
      </c>
      <c r="D7" s="2" t="inlineStr">
        <is>
          <t>https://gemini.google.com/share/629a52940a0e</t>
        </is>
      </c>
      <c r="E7" s="2" t="inlineStr">
        <is>
          <t>pendente</t>
        </is>
      </c>
      <c r="F7" s="2" t="inlineStr">
        <is>
          <t>Relatorio compartilhado pelo usuario, ainda nao acessivel neste ambiente.</t>
        </is>
      </c>
      <c r="G7" s="2" t="inlineStr">
        <is>
          <t>Importar quando o texto bruto estiver disponivel.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44" customWidth="1" min="6" max="6"/>
  </cols>
  <sheetData>
    <row r="1">
      <c r="A1" s="1" t="inlineStr">
        <is>
          <t>campo</t>
        </is>
      </c>
      <c r="B1" s="1" t="inlineStr">
        <is>
          <t>faixa_baixa</t>
        </is>
      </c>
      <c r="C1" s="1" t="inlineStr">
        <is>
          <t>faixa_media</t>
        </is>
      </c>
      <c r="D1" s="1" t="inlineStr">
        <is>
          <t>faixa_alta</t>
        </is>
      </c>
      <c r="E1" s="1" t="inlineStr">
        <is>
          <t>faixa_maxima</t>
        </is>
      </c>
      <c r="F1" s="1" t="inlineStr">
        <is>
          <t>regra_de_selecao</t>
        </is>
      </c>
    </row>
    <row r="2">
      <c r="A2" s="2" t="inlineStr">
        <is>
          <t>novidade</t>
        </is>
      </c>
      <c r="B2" s="2" t="inlineStr">
        <is>
          <t>ja existe em quase tudo</t>
        </is>
      </c>
      <c r="C2" s="2" t="inlineStr">
        <is>
          <t>parecido com o mercado</t>
        </is>
      </c>
      <c r="D2" s="2" t="inlineStr">
        <is>
          <t>tem um angulo novo</t>
        </is>
      </c>
      <c r="E2" s="2" t="inlineStr">
        <is>
          <t>abre espaco real de diferenca</t>
        </is>
      </c>
      <c r="F2" s="2" t="inlineStr">
        <is>
          <t>A novidade conta mais quando nao destrói a clareza.</t>
        </is>
      </c>
    </row>
    <row r="3">
      <c r="A3" s="2" t="inlineStr">
        <is>
          <t>impacto</t>
        </is>
      </c>
      <c r="B3" s="2" t="inlineStr">
        <is>
          <t>resolve pouco</t>
        </is>
      </c>
      <c r="C3" s="2" t="inlineStr">
        <is>
          <t>ajuda, mas e parcial</t>
        </is>
      </c>
      <c r="D3" s="2" t="inlineStr">
        <is>
          <t>resolve uma dor forte</t>
        </is>
      </c>
      <c r="E3" s="2" t="inlineStr">
        <is>
          <t>muda o dia a dia rapidamente</t>
        </is>
      </c>
      <c r="F3" s="2" t="inlineStr">
        <is>
          <t>Impacto alto vale mais do que criatividade vazia.</t>
        </is>
      </c>
    </row>
    <row r="4">
      <c r="A4" s="2" t="inlineStr">
        <is>
          <t>evidencia</t>
        </is>
      </c>
      <c r="B4" s="2" t="inlineStr">
        <is>
          <t>isolada ou fraca</t>
        </is>
      </c>
      <c r="C4" s="2" t="inlineStr">
        <is>
          <t>aparece em uma fonte</t>
        </is>
      </c>
      <c r="D4" s="2" t="inlineStr">
        <is>
          <t>aparece em mais de uma fonte</t>
        </is>
      </c>
      <c r="E4" s="2" t="inlineStr">
        <is>
          <t>repete em fontes diferentes e confiaveis</t>
        </is>
      </c>
      <c r="F4" s="2" t="inlineStr">
        <is>
          <t>A melhor ideia junta evidencia de oferta, busca e fala do publico.</t>
        </is>
      </c>
    </row>
    <row r="5">
      <c r="A5" s="2" t="inlineStr">
        <is>
          <t>conforto_publico</t>
        </is>
      </c>
      <c r="B5" s="2" t="inlineStr">
        <is>
          <t>soa acusatorio</t>
        </is>
      </c>
      <c r="C5" s="2" t="inlineStr">
        <is>
          <t>soa duro, mas suportavel</t>
        </is>
      </c>
      <c r="D5" s="2" t="inlineStr">
        <is>
          <t>soa profissional e humano</t>
        </is>
      </c>
      <c r="E5" s="2" t="inlineStr">
        <is>
          <t>soa acolhedor e util</t>
        </is>
      </c>
      <c r="F5" s="2" t="inlineStr">
        <is>
          <t>Evite linguagem que faça o professor sentir fracasso sem saida.</t>
        </is>
      </c>
    </row>
    <row r="6">
      <c r="A6" s="2" t="inlineStr">
        <is>
          <t>risco_cliche</t>
        </is>
      </c>
      <c r="B6" s="2" t="inlineStr">
        <is>
          <t>muito repetido e vazio</t>
        </is>
      </c>
      <c r="C6" s="2" t="inlineStr">
        <is>
          <t>comum e pouco diferencial</t>
        </is>
      </c>
      <c r="D6" s="2" t="inlineStr">
        <is>
          <t>convencional, mas aceitavel</t>
        </is>
      </c>
      <c r="E6" s="2" t="inlineStr">
        <is>
          <t>fora do lugar-comum</t>
        </is>
      </c>
      <c r="F6" s="2" t="inlineStr">
        <is>
          <t>Cliche so entra quando a prova e muito forte e o mecanismo e concreto.</t>
        </is>
      </c>
    </row>
    <row r="7">
      <c r="A7" s="2" t="inlineStr">
        <is>
          <t>regra_final</t>
        </is>
      </c>
      <c r="B7" s="2" t="inlineStr">
        <is>
          <t>exploratorio</t>
        </is>
      </c>
      <c r="C7" s="2" t="inlineStr">
        <is>
          <t>em observacao</t>
        </is>
      </c>
      <c r="D7" s="2" t="inlineStr">
        <is>
          <t>prioridade media</t>
        </is>
      </c>
      <c r="E7" s="2" t="inlineStr">
        <is>
          <t>prioridade alta</t>
        </is>
      </c>
      <c r="F7" s="2" t="inlineStr">
        <is>
          <t>Prefira ideias com evidencia alta e risco de cliche controlado.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2026-04-09T03:42:33Z</dcterms:created>
  <dcterms:modified xsi:type="dcterms:W3CDTF">2026-04-09T03:42:33Z</dcterms:modified>
</cp:coreProperties>
</file>