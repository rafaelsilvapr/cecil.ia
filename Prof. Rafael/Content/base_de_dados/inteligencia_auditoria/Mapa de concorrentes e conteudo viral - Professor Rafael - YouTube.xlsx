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nais" sheetId="1" state="visible" r:id="rId1"/>
    <sheet name="Conteudo Viral" sheetId="2" state="visible" r:id="rId2"/>
    <sheet name="Critérios Viral" sheetId="3" state="visible" r:id="rId3"/>
  </sheets>
  <definedNames>
    <definedName name="_xlnm._FilterDatabase" localSheetId="0" hidden="1">'Canais'!$A$4:$M$33</definedName>
    <definedName name="_xlnm._FilterDatabase" localSheetId="1" hidden="1">'Conteudo Viral'!$A$4:$AB$204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</font>
    <font>
      <name val="Calibri"/>
      <family val="2"/>
      <b val="1"/>
      <color rgb="00FFFFFF"/>
      <sz val="14"/>
    </font>
    <font>
      <name val="Calibri"/>
      <family val="2"/>
      <i val="1"/>
      <color rgb="007F7F7F"/>
      <sz val="10"/>
    </font>
    <font>
      <name val="Calibri"/>
      <family val="2"/>
      <b val="1"/>
      <color rgb="00FFFFFF"/>
      <sz val="11"/>
    </font>
    <font>
      <name val="Calibri"/>
      <family val="2"/>
      <color rgb="000563C1"/>
      <u val="single"/>
    </font>
    <font>
      <b val="1"/>
      <color rgb="00FFFFFF"/>
    </font>
    <font>
      <b val="1"/>
      <color rgb="001F1F1F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rgb="005C6E3E"/>
        <bgColor indexed="64"/>
      </patternFill>
    </fill>
    <fill>
      <patternFill patternType="solid">
        <fgColor rgb="00F6F1E7"/>
        <bgColor indexed="64"/>
      </patternFill>
    </fill>
    <fill>
      <patternFill patternType="solid">
        <fgColor rgb="004E5A38"/>
        <bgColor indexed="64"/>
      </patternFill>
    </fill>
    <fill>
      <patternFill patternType="solid">
        <fgColor rgb="00D9EAD3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00FFF2CC"/>
        <bgColor indexed="64"/>
      </patternFill>
    </fill>
    <fill>
      <patternFill patternType="solid">
        <fgColor rgb="00EADCF8"/>
        <bgColor indexed="64"/>
      </patternFill>
    </fill>
    <fill>
      <patternFill patternType="solid">
        <fgColor rgb="00FCE5CD"/>
        <bgColor indexed="64"/>
      </patternFill>
    </fill>
    <fill>
      <patternFill patternType="solid">
        <fgColor rgb="00EEF2F7"/>
        <bgColor indexed="64"/>
      </patternFill>
    </fill>
    <fill>
      <patternFill patternType="solid">
        <fgColor rgb="00556B2F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0" borderId="0" pivotButton="0" quotePrefix="0" xfId="0"/>
    <xf numFmtId="0" fontId="0" fillId="10" borderId="0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6D8A"/>
    <outlinePr summaryBelow="1" summaryRight="1"/>
    <pageSetUpPr/>
  </sheetPr>
  <dimension ref="A1:M33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8"/>
  <cols>
    <col width="10" customWidth="1" min="1" max="1"/>
    <col width="16" customWidth="1" min="2" max="2"/>
    <col width="28" customWidth="1" min="3" max="3"/>
    <col width="34" customWidth="1" min="4" max="4"/>
    <col width="16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20" customWidth="1" min="11" max="11"/>
    <col width="34" customWidth="1" min="12" max="12"/>
    <col width="42" customWidth="1" min="13" max="13"/>
  </cols>
  <sheetData>
    <row r="1" ht="24" customHeight="1">
      <c r="A1" s="1" t="inlineStr">
        <is>
          <t>Mapa de Concorrentes - Professor Rafael - YouTube</t>
        </is>
      </c>
    </row>
    <row r="2" ht="24" customHeight="1">
      <c r="A2" s="2" t="inlineStr">
        <is>
          <t>Esta aba é para canais e criadores. Ajuste os itens conforme você confirmar os canais no YouTube.</t>
        </is>
      </c>
    </row>
    <row r="3" ht="24" customHeight="1">
      <c r="A3" s="10" t="inlineStr">
        <is>
          <t>Categorias: Direto BR, Direto INT, Adjacente BR, Adjacente INT, Macro/brand e Formato/Humor.</t>
        </is>
      </c>
    </row>
    <row r="4" ht="20" customHeight="1">
      <c r="A4" s="11" t="inlineStr">
        <is>
          <t>Mercado</t>
        </is>
      </c>
      <c r="B4" s="11" t="inlineStr">
        <is>
          <t>Categoria</t>
        </is>
      </c>
      <c r="C4" s="11" t="inlineStr">
        <is>
          <t>Canal / Criador</t>
        </is>
      </c>
      <c r="D4" s="11" t="inlineStr">
        <is>
          <t>URL / busca</t>
        </is>
      </c>
      <c r="E4" s="11" t="inlineStr">
        <is>
          <t>Função na pesquisa</t>
        </is>
      </c>
      <c r="F4" s="11" t="inlineStr">
        <is>
          <t>Aderência</t>
        </is>
      </c>
      <c r="G4" s="11" t="inlineStr">
        <is>
          <t>Status da validação</t>
        </is>
      </c>
      <c r="H4" s="11" t="inlineStr">
        <is>
          <t>Subs</t>
        </is>
      </c>
      <c r="I4" s="11" t="inlineStr">
        <is>
          <t>Vídeos</t>
        </is>
      </c>
      <c r="J4" s="11" t="inlineStr">
        <is>
          <t>Views totais</t>
        </is>
      </c>
      <c r="K4" s="11" t="inlineStr">
        <is>
          <t>Último vídeo / cadastro</t>
        </is>
      </c>
      <c r="L4" s="11" t="inlineStr">
        <is>
          <t>Modelo de negócio / monetização</t>
        </is>
      </c>
      <c r="M4" s="11" t="inlineStr">
        <is>
          <t>Observações</t>
        </is>
      </c>
    </row>
    <row r="5" ht="18" customHeight="1">
      <c r="A5" s="12" t="inlineStr">
        <is>
          <t>BR</t>
        </is>
      </c>
      <c r="B5" s="13" t="inlineStr">
        <is>
          <t>Direto BR</t>
        </is>
      </c>
      <c r="C5" s="12" t="inlineStr">
        <is>
          <t>SOS Educação</t>
        </is>
      </c>
      <c r="D5" s="14" t="inlineStr">
        <is>
          <t>buscar: SOS Educação YouTube</t>
        </is>
      </c>
      <c r="E5" s="12" t="inlineStr">
        <is>
          <t>Tema</t>
        </is>
      </c>
      <c r="F5" s="12" t="inlineStr">
        <is>
          <t>Alto</t>
        </is>
      </c>
      <c r="G5" s="12" t="inlineStr">
        <is>
          <t>Confirmado</t>
        </is>
      </c>
      <c r="H5" s="15" t="n">
        <v>28700</v>
      </c>
      <c r="I5" s="15" t="n">
        <v>532</v>
      </c>
      <c r="J5" s="15" t="n">
        <v>827769</v>
      </c>
      <c r="K5" s="12" t="inlineStr">
        <is>
          <t>canal ativo desde 2014-08</t>
        </is>
      </c>
      <c r="L5" s="12" t="inlineStr">
        <is>
          <t>livros, cursos, consultoria, SOS Gestor Escolar, WhatsApp, podcasts, palestras</t>
        </is>
      </c>
      <c r="M5" s="12" t="inlineStr">
        <is>
          <t>Muito alinhado com família-escola, comportamento e rotina.</t>
        </is>
      </c>
    </row>
    <row r="6" ht="18" customHeight="1">
      <c r="A6" s="12" t="inlineStr">
        <is>
          <t>BR</t>
        </is>
      </c>
      <c r="B6" s="13" t="inlineStr">
        <is>
          <t>Direto BR</t>
        </is>
      </c>
      <c r="C6" s="12" t="inlineStr">
        <is>
          <t>Rede Pedagógica</t>
        </is>
      </c>
      <c r="D6" s="14" t="inlineStr">
        <is>
          <t>buscar: Rede Pedagógica YouTube</t>
        </is>
      </c>
      <c r="E6" s="12" t="inlineStr">
        <is>
          <t>Tema</t>
        </is>
      </c>
      <c r="F6" s="12" t="inlineStr">
        <is>
          <t>Alto</t>
        </is>
      </c>
      <c r="G6" s="12" t="inlineStr">
        <is>
          <t>Confirmado</t>
        </is>
      </c>
      <c r="H6" s="15" t="n">
        <v>1170000</v>
      </c>
      <c r="I6" s="15" t="n">
        <v>3290</v>
      </c>
      <c r="J6" s="15" t="n">
        <v>1000000000</v>
      </c>
      <c r="K6" s="12" t="inlineStr">
        <is>
          <t>11+ anos / canal ativo</t>
        </is>
      </c>
      <c r="L6" s="12" t="inlineStr">
        <is>
          <t>assinatura PRO, cursos, certificação, semanas gratuitas, WhatsApp, loja</t>
        </is>
      </c>
      <c r="M6" s="12" t="inlineStr">
        <is>
          <t>Maior benchmark de escala; bom para estudar funil e recorrência.</t>
        </is>
      </c>
    </row>
    <row r="7" ht="18" customHeight="1">
      <c r="A7" s="12" t="inlineStr">
        <is>
          <t>BR</t>
        </is>
      </c>
      <c r="B7" s="13" t="inlineStr">
        <is>
          <t>Direto BR</t>
        </is>
      </c>
      <c r="C7" s="12" t="inlineStr">
        <is>
          <t>Amanda Stella</t>
        </is>
      </c>
      <c r="D7" s="14" t="inlineStr">
        <is>
          <t>buscar: Amanda Stella YouTube</t>
        </is>
      </c>
      <c r="E7" s="12" t="inlineStr">
        <is>
          <t>Tema</t>
        </is>
      </c>
      <c r="F7" s="12" t="inlineStr">
        <is>
          <t>Alto</t>
        </is>
      </c>
      <c r="G7" s="12" t="inlineStr">
        <is>
          <t>A confirmar</t>
        </is>
      </c>
      <c r="H7" s="15" t="n"/>
      <c r="I7" s="15" t="n"/>
      <c r="J7" s="15" t="n"/>
      <c r="K7" s="12" t="inlineStr">
        <is>
          <t>a confirmar</t>
        </is>
      </c>
      <c r="L7" s="12" t="inlineStr">
        <is>
          <t>a confirmar</t>
        </is>
      </c>
      <c r="M7" s="12" t="inlineStr">
        <is>
          <t>Mantida como referência BR até validar o canal no YouTube.</t>
        </is>
      </c>
    </row>
    <row r="8" ht="18" customHeight="1">
      <c r="A8" s="12" t="inlineStr">
        <is>
          <t>BR</t>
        </is>
      </c>
      <c r="B8" s="16" t="inlineStr">
        <is>
          <t>Adjacente BR</t>
        </is>
      </c>
      <c r="C8" s="12" t="inlineStr">
        <is>
          <t>Leo Fraiman</t>
        </is>
      </c>
      <c r="D8" s="14" t="inlineStr">
        <is>
          <t>buscar: Leo Fraiman YouTube</t>
        </is>
      </c>
      <c r="E8" s="12" t="inlineStr">
        <is>
          <t>Tema</t>
        </is>
      </c>
      <c r="F8" s="12" t="inlineStr">
        <is>
          <t>Medio</t>
        </is>
      </c>
      <c r="G8" s="12" t="inlineStr">
        <is>
          <t>Confirmado</t>
        </is>
      </c>
      <c r="H8" s="15" t="n">
        <v>164000</v>
      </c>
      <c r="I8" s="15" t="n"/>
      <c r="J8" s="15" t="n">
        <v>2600000</v>
      </c>
      <c r="K8" s="12" t="inlineStr">
        <is>
          <t>publicação recorrente</t>
        </is>
      </c>
      <c r="L8" s="12" t="inlineStr">
        <is>
          <t>OPEE em escolas, livros, consultoria, palestras, FTD</t>
        </is>
      </c>
      <c r="M8" s="12" t="inlineStr">
        <is>
          <t>Fortíssimo para socioemocional, escola e projeto de vida.</t>
        </is>
      </c>
    </row>
    <row r="9" ht="18" customHeight="1">
      <c r="A9" s="12" t="inlineStr">
        <is>
          <t>BR</t>
        </is>
      </c>
      <c r="B9" s="16" t="inlineStr">
        <is>
          <t>Adjacente BR</t>
        </is>
      </c>
      <c r="C9" s="12" t="inlineStr">
        <is>
          <t>Rute Vieira</t>
        </is>
      </c>
      <c r="D9" s="14" t="inlineStr">
        <is>
          <t>buscar: Rute Vieira pedagoga YouTube</t>
        </is>
      </c>
      <c r="E9" s="12" t="inlineStr">
        <is>
          <t>Tema</t>
        </is>
      </c>
      <c r="F9" s="12" t="inlineStr">
        <is>
          <t>Medio</t>
        </is>
      </c>
      <c r="G9" s="12" t="inlineStr">
        <is>
          <t>A confirmar</t>
        </is>
      </c>
      <c r="H9" s="15" t="n"/>
      <c r="I9" s="15" t="n"/>
      <c r="J9" s="15" t="n"/>
      <c r="K9" s="12" t="inlineStr">
        <is>
          <t>a confirmar</t>
        </is>
      </c>
      <c r="L9" s="12" t="inlineStr">
        <is>
          <t>a confirmar</t>
        </is>
      </c>
      <c r="M9" s="12" t="inlineStr">
        <is>
          <t>Mantida como possível referência pedagógica prática.</t>
        </is>
      </c>
    </row>
    <row r="10" ht="18" customHeight="1">
      <c r="A10" s="12" t="inlineStr">
        <is>
          <t>BR</t>
        </is>
      </c>
      <c r="B10" s="16" t="inlineStr">
        <is>
          <t>Adjacente BR</t>
        </is>
      </c>
      <c r="C10" s="12" t="inlineStr">
        <is>
          <t>Thaís Faria Coelho</t>
        </is>
      </c>
      <c r="D10" s="14" t="inlineStr">
        <is>
          <t>buscar: Thaís Faria Coelho neurociência YouTube</t>
        </is>
      </c>
      <c r="E10" s="12" t="inlineStr">
        <is>
          <t>Tema</t>
        </is>
      </c>
      <c r="F10" s="12" t="inlineStr">
        <is>
          <t>Medio</t>
        </is>
      </c>
      <c r="G10" s="12" t="inlineStr">
        <is>
          <t>Confirmado</t>
        </is>
      </c>
      <c r="H10" s="15" t="n"/>
      <c r="I10" s="15" t="n"/>
      <c r="J10" s="15" t="n"/>
      <c r="K10" s="12" t="inlineStr">
        <is>
          <t>a confirmar</t>
        </is>
      </c>
      <c r="L10" s="12" t="inlineStr">
        <is>
          <t>cursos, escola de pais, talks e formação</t>
        </is>
      </c>
      <c r="M10" s="12" t="inlineStr">
        <is>
          <t>Neurociência e educação; útil para atenção e aprendizagem.</t>
        </is>
      </c>
    </row>
    <row r="11" ht="18" customHeight="1">
      <c r="A11" s="12" t="inlineStr">
        <is>
          <t>BR</t>
        </is>
      </c>
      <c r="B11" s="16" t="inlineStr">
        <is>
          <t>Adjacente BR</t>
        </is>
      </c>
      <c r="C11" s="12" t="inlineStr">
        <is>
          <t>Ineuro</t>
        </is>
      </c>
      <c r="D11" s="14" t="inlineStr">
        <is>
          <t>buscar: Ineuro YouTube</t>
        </is>
      </c>
      <c r="E11" s="12" t="inlineStr">
        <is>
          <t>Tema</t>
        </is>
      </c>
      <c r="F11" s="12" t="inlineStr">
        <is>
          <t>Medio</t>
        </is>
      </c>
      <c r="G11" s="12" t="inlineStr">
        <is>
          <t>A confirmar</t>
        </is>
      </c>
      <c r="H11" s="15" t="n"/>
      <c r="I11" s="15" t="n"/>
      <c r="J11" s="15" t="n"/>
      <c r="K11" s="12" t="inlineStr">
        <is>
          <t>a confirmar</t>
        </is>
      </c>
      <c r="L11" s="12" t="inlineStr">
        <is>
          <t>a confirmar</t>
        </is>
      </c>
      <c r="M11" s="12" t="inlineStr">
        <is>
          <t>Base científica para aprendizagem, atenção e comportamento.</t>
        </is>
      </c>
    </row>
    <row r="12" ht="18" customHeight="1">
      <c r="A12" s="12" t="inlineStr">
        <is>
          <t>BR</t>
        </is>
      </c>
      <c r="B12" s="16" t="inlineStr">
        <is>
          <t>Adjacente BR</t>
        </is>
      </c>
      <c r="C12" s="12" t="inlineStr">
        <is>
          <t>Dado Schneider</t>
        </is>
      </c>
      <c r="D12" s="14" t="inlineStr">
        <is>
          <t>buscar: Dado Schneider YouTube</t>
        </is>
      </c>
      <c r="E12" s="12" t="inlineStr">
        <is>
          <t>Tema</t>
        </is>
      </c>
      <c r="F12" s="12" t="inlineStr">
        <is>
          <t>Medio</t>
        </is>
      </c>
      <c r="G12" s="12" t="inlineStr">
        <is>
          <t>Confirmado</t>
        </is>
      </c>
      <c r="H12" s="15" t="n"/>
      <c r="I12" s="15" t="n"/>
      <c r="J12" s="15" t="n"/>
      <c r="K12" s="12" t="inlineStr">
        <is>
          <t>a confirmar</t>
        </is>
      </c>
      <c r="L12" s="12" t="inlineStr">
        <is>
          <t>palestras, livros, videocast, consultoria</t>
        </is>
      </c>
      <c r="M12" s="12" t="inlineStr">
        <is>
          <t>Referência de comportamento e comunicação entre gerações.</t>
        </is>
      </c>
    </row>
    <row r="13" ht="18" customHeight="1">
      <c r="A13" s="12" t="inlineStr">
        <is>
          <t>BR</t>
        </is>
      </c>
      <c r="B13" s="16" t="inlineStr">
        <is>
          <t>Adjacente BR</t>
        </is>
      </c>
      <c r="C13" s="12" t="inlineStr">
        <is>
          <t>Diogo Almeida</t>
        </is>
      </c>
      <c r="D13" s="14" t="inlineStr">
        <is>
          <t>buscar: Diogo Almeida educação YouTube</t>
        </is>
      </c>
      <c r="E13" s="12" t="inlineStr">
        <is>
          <t>Formato</t>
        </is>
      </c>
      <c r="F13" s="12" t="inlineStr">
        <is>
          <t>Baixo</t>
        </is>
      </c>
      <c r="G13" s="12" t="inlineStr">
        <is>
          <t>Confirmado</t>
        </is>
      </c>
      <c r="H13" s="15" t="n">
        <v>782000</v>
      </c>
      <c r="I13" s="15" t="n">
        <v>964</v>
      </c>
      <c r="J13" s="15" t="n">
        <v>117871707</v>
      </c>
      <c r="K13" s="12" t="inlineStr">
        <is>
          <t>canal ativo desde 2015-08</t>
        </is>
      </c>
      <c r="L13" s="12" t="inlineStr">
        <is>
          <t>shows, especiais de comédia, mídia, patrocínios</t>
        </is>
      </c>
      <c r="M13" s="12" t="inlineStr">
        <is>
          <t>Formato/humor: útil para linguagem e timing, não como núcleo de tema.</t>
        </is>
      </c>
    </row>
    <row r="14" ht="18" customHeight="1">
      <c r="A14" s="12" t="inlineStr">
        <is>
          <t>BR</t>
        </is>
      </c>
      <c r="B14" s="16" t="inlineStr">
        <is>
          <t>Adjacente BR</t>
        </is>
      </c>
      <c r="C14" s="12" t="inlineStr">
        <is>
          <t>Prof. Leo</t>
        </is>
      </c>
      <c r="D14" s="14" t="inlineStr">
        <is>
          <t>buscar: profleoo YouTube</t>
        </is>
      </c>
      <c r="E14" s="12" t="inlineStr">
        <is>
          <t>Tema</t>
        </is>
      </c>
      <c r="F14" s="12" t="inlineStr">
        <is>
          <t>Medio</t>
        </is>
      </c>
      <c r="G14" s="12" t="inlineStr">
        <is>
          <t>A confirmar</t>
        </is>
      </c>
      <c r="H14" s="15" t="n"/>
      <c r="I14" s="15" t="n"/>
      <c r="J14" s="15" t="n"/>
      <c r="K14" s="12" t="inlineStr">
        <is>
          <t>a confirmar</t>
        </is>
      </c>
      <c r="L14" s="12" t="inlineStr">
        <is>
          <t>a confirmar</t>
        </is>
      </c>
      <c r="M14" s="12" t="inlineStr">
        <is>
          <t>Só vale se o canal estiver alinhado com prática docente.</t>
        </is>
      </c>
    </row>
    <row r="15" ht="18" customHeight="1">
      <c r="A15" s="12" t="inlineStr">
        <is>
          <t>INT</t>
        </is>
      </c>
      <c r="B15" s="17" t="inlineStr">
        <is>
          <t>Direto INT</t>
        </is>
      </c>
      <c r="C15" s="12" t="inlineStr">
        <is>
          <t>Mr. Napoles</t>
        </is>
      </c>
      <c r="D15" s="14" t="inlineStr">
        <is>
          <t>buscar: Mr. Napoles YouTube</t>
        </is>
      </c>
      <c r="E15" s="12" t="inlineStr">
        <is>
          <t>Formato</t>
        </is>
      </c>
      <c r="F15" s="12" t="inlineStr">
        <is>
          <t>Alto</t>
        </is>
      </c>
      <c r="G15" s="12" t="inlineStr">
        <is>
          <t>Confirmado</t>
        </is>
      </c>
      <c r="H15" s="15" t="n"/>
      <c r="I15" s="15" t="n"/>
      <c r="J15" s="15" t="n"/>
      <c r="K15" s="12" t="inlineStr">
        <is>
          <t>a confirmar</t>
        </is>
      </c>
      <c r="L15" s="12" t="inlineStr">
        <is>
          <t>freebies, email list, TPT/store, parcerias e afiliados</t>
        </is>
      </c>
      <c r="M15" s="12" t="inlineStr">
        <is>
          <t>Presença forte em recursos para professores; ótimo benchmark de monetização.</t>
        </is>
      </c>
    </row>
    <row r="16" ht="18" customHeight="1">
      <c r="A16" s="12" t="inlineStr">
        <is>
          <t>INT</t>
        </is>
      </c>
      <c r="B16" s="17" t="inlineStr">
        <is>
          <t>Direto INT</t>
        </is>
      </c>
      <c r="C16" s="12" t="inlineStr">
        <is>
          <t>Education to the Core</t>
        </is>
      </c>
      <c r="D16" s="14" t="inlineStr">
        <is>
          <t>buscar: Education to the Core YouTube</t>
        </is>
      </c>
      <c r="E16" s="12" t="inlineStr">
        <is>
          <t>Formato</t>
        </is>
      </c>
      <c r="F16" s="12" t="inlineStr">
        <is>
          <t>Alto</t>
        </is>
      </c>
      <c r="G16" s="12" t="inlineStr">
        <is>
          <t>Confirmado</t>
        </is>
      </c>
      <c r="H16" s="15" t="n"/>
      <c r="I16" s="15" t="n"/>
      <c r="J16" s="15" t="n"/>
      <c r="K16" s="12" t="inlineStr">
        <is>
          <t>a confirmar</t>
        </is>
      </c>
      <c r="L16" s="12" t="inlineStr">
        <is>
          <t>TPT/store, recursos, produtos educacionais, email capture</t>
        </is>
      </c>
      <c r="M16" s="12" t="inlineStr">
        <is>
          <t>Mais forte como business reference do que como canal-mãe.</t>
        </is>
      </c>
    </row>
    <row r="17" ht="18" customHeight="1">
      <c r="A17" s="12" t="inlineStr">
        <is>
          <t>INT</t>
        </is>
      </c>
      <c r="B17" s="17" t="inlineStr">
        <is>
          <t>Direto INT</t>
        </is>
      </c>
      <c r="C17" s="12" t="inlineStr">
        <is>
          <t>Mrs. D's Corner</t>
        </is>
      </c>
      <c r="D17" s="14" t="inlineStr">
        <is>
          <t>buscar: Mrs D's Corner YouTube</t>
        </is>
      </c>
      <c r="E17" s="12" t="inlineStr">
        <is>
          <t>Tema</t>
        </is>
      </c>
      <c r="F17" s="12" t="inlineStr">
        <is>
          <t>Alto</t>
        </is>
      </c>
      <c r="G17" s="12" t="inlineStr">
        <is>
          <t>Confirmado</t>
        </is>
      </c>
      <c r="H17" s="15" t="n"/>
      <c r="I17" s="15" t="n"/>
      <c r="J17" s="15" t="n"/>
      <c r="K17" s="12" t="inlineStr">
        <is>
          <t>a confirmar</t>
        </is>
      </c>
      <c r="L17" s="12" t="inlineStr">
        <is>
          <t>recursos, blog, PD e produtos para educadores</t>
        </is>
      </c>
      <c r="M17" s="12" t="inlineStr">
        <is>
          <t>Boa referência para estrutura, especial ed e clareza prática.</t>
        </is>
      </c>
    </row>
    <row r="18" ht="18" customHeight="1">
      <c r="A18" s="12" t="inlineStr">
        <is>
          <t>INT</t>
        </is>
      </c>
      <c r="B18" s="17" t="inlineStr">
        <is>
          <t>Direto INT</t>
        </is>
      </c>
      <c r="C18" s="12" t="inlineStr">
        <is>
          <t>Especially SPED</t>
        </is>
      </c>
      <c r="D18" s="14" t="inlineStr">
        <is>
          <t>buscar: Especially SPED YouTube</t>
        </is>
      </c>
      <c r="E18" s="12" t="inlineStr">
        <is>
          <t>Tema</t>
        </is>
      </c>
      <c r="F18" s="12" t="inlineStr">
        <is>
          <t>Alto</t>
        </is>
      </c>
      <c r="G18" s="12" t="inlineStr">
        <is>
          <t>Confirmado</t>
        </is>
      </c>
      <c r="H18" s="15" t="n"/>
      <c r="I18" s="15" t="n"/>
      <c r="J18" s="15" t="n"/>
      <c r="K18" s="12" t="inlineStr">
        <is>
          <t>a confirmar</t>
        </is>
      </c>
      <c r="L18" s="12" t="inlineStr">
        <is>
          <t>recursos, produtos, formação e apoio a educadores</t>
        </is>
      </c>
      <c r="M18" s="12" t="inlineStr">
        <is>
          <t>Forte em comportamento, inclusão e sala de aula.</t>
        </is>
      </c>
    </row>
    <row r="19" ht="18" customHeight="1">
      <c r="A19" s="12" t="inlineStr">
        <is>
          <t>INT</t>
        </is>
      </c>
      <c r="B19" s="17" t="inlineStr">
        <is>
          <t>Direto INT</t>
        </is>
      </c>
      <c r="C19" s="12" t="inlineStr">
        <is>
          <t>Teach Love Autism</t>
        </is>
      </c>
      <c r="D19" s="14" t="inlineStr">
        <is>
          <t>buscar: Teach Love Autism YouTube</t>
        </is>
      </c>
      <c r="E19" s="12" t="inlineStr">
        <is>
          <t>Tema</t>
        </is>
      </c>
      <c r="F19" s="12" t="inlineStr">
        <is>
          <t>Alto</t>
        </is>
      </c>
      <c r="G19" s="12" t="inlineStr">
        <is>
          <t>Confirmado</t>
        </is>
      </c>
      <c r="H19" s="15" t="n"/>
      <c r="I19" s="15" t="n"/>
      <c r="J19" s="15" t="n"/>
      <c r="K19" s="12" t="inlineStr">
        <is>
          <t>a confirmar</t>
        </is>
      </c>
      <c r="L19" s="12" t="inlineStr">
        <is>
          <t>membership, recursos, email list, loja e suporte</t>
        </is>
      </c>
      <c r="M19" s="12" t="inlineStr">
        <is>
          <t>Muito útil para rotina, acessibilidade e comunidade.</t>
        </is>
      </c>
    </row>
    <row r="20" ht="18" customHeight="1">
      <c r="A20" s="12" t="inlineStr">
        <is>
          <t>INT</t>
        </is>
      </c>
      <c r="B20" s="17" t="inlineStr">
        <is>
          <t>Direto INT</t>
        </is>
      </c>
      <c r="C20" s="12" t="inlineStr">
        <is>
          <t>Not So Wimpy Teacher</t>
        </is>
      </c>
      <c r="D20" s="14" t="inlineStr">
        <is>
          <t>buscar: Not So Wimpy Teacher YouTube</t>
        </is>
      </c>
      <c r="E20" s="12" t="inlineStr">
        <is>
          <t>Tema</t>
        </is>
      </c>
      <c r="F20" s="12" t="inlineStr">
        <is>
          <t>Alto</t>
        </is>
      </c>
      <c r="G20" s="12" t="inlineStr">
        <is>
          <t>Confirmado</t>
        </is>
      </c>
      <c r="H20" s="15" t="n">
        <v>24000</v>
      </c>
      <c r="I20" s="15" t="n">
        <v>227</v>
      </c>
      <c r="J20" s="15" t="n"/>
      <c r="K20" s="12" t="inlineStr">
        <is>
          <t>2017-11-09</t>
        </is>
      </c>
      <c r="L20" s="12" t="inlineStr">
        <is>
          <t>blog, loja, PD, email course, podcast, 400+ recursos</t>
        </is>
      </c>
      <c r="M20" s="12" t="inlineStr">
        <is>
          <t>Excelente exemplo de negócio de recurso + alívio de burnout.</t>
        </is>
      </c>
    </row>
    <row r="21" ht="18" customHeight="1">
      <c r="A21" s="12" t="inlineStr">
        <is>
          <t>INT</t>
        </is>
      </c>
      <c r="B21" s="17" t="inlineStr">
        <is>
          <t>Direto INT</t>
        </is>
      </c>
      <c r="C21" s="12" t="inlineStr">
        <is>
          <t>HeadoverHeelsForTeaching</t>
        </is>
      </c>
      <c r="D21" s="14" t="inlineStr">
        <is>
          <t>buscar: HeadoverHeelsForTeaching YouTube</t>
        </is>
      </c>
      <c r="E21" s="12" t="inlineStr">
        <is>
          <t>Formato</t>
        </is>
      </c>
      <c r="F21" s="12" t="inlineStr">
        <is>
          <t>Alto</t>
        </is>
      </c>
      <c r="G21" s="12" t="inlineStr">
        <is>
          <t>A confirmar</t>
        </is>
      </c>
      <c r="H21" s="15" t="n"/>
      <c r="I21" s="15" t="n"/>
      <c r="J21" s="15" t="n"/>
      <c r="K21" s="12" t="inlineStr">
        <is>
          <t>a confirmar</t>
        </is>
      </c>
      <c r="L21" s="12" t="inlineStr">
        <is>
          <t>a confirmar</t>
        </is>
      </c>
      <c r="M21" s="12" t="inlineStr">
        <is>
          <t>Bom para engajamento, rotina e ideias práticas.</t>
        </is>
      </c>
    </row>
    <row r="22" ht="18" customHeight="1">
      <c r="A22" s="12" t="inlineStr">
        <is>
          <t>INT</t>
        </is>
      </c>
      <c r="B22" s="17" t="inlineStr">
        <is>
          <t>Direto INT</t>
        </is>
      </c>
      <c r="C22" s="12" t="inlineStr">
        <is>
          <t>Abanaturally</t>
        </is>
      </c>
      <c r="D22" s="14" t="inlineStr">
        <is>
          <t>buscar: Abanaturally YouTube</t>
        </is>
      </c>
      <c r="E22" s="12" t="inlineStr">
        <is>
          <t>Tema</t>
        </is>
      </c>
      <c r="F22" s="12" t="inlineStr">
        <is>
          <t>Alto</t>
        </is>
      </c>
      <c r="G22" s="12" t="inlineStr">
        <is>
          <t>A confirmar</t>
        </is>
      </c>
      <c r="H22" s="15" t="n"/>
      <c r="I22" s="15" t="n"/>
      <c r="J22" s="15" t="n"/>
      <c r="K22" s="12" t="inlineStr">
        <is>
          <t>a confirmar</t>
        </is>
      </c>
      <c r="L22" s="12" t="inlineStr">
        <is>
          <t>a confirmar</t>
        </is>
      </c>
      <c r="M22" s="12" t="inlineStr">
        <is>
          <t>Comportamento, ponte com família e escola.</t>
        </is>
      </c>
    </row>
    <row r="23" ht="18" customHeight="1">
      <c r="A23" s="12" t="inlineStr">
        <is>
          <t>INT</t>
        </is>
      </c>
      <c r="B23" s="16" t="inlineStr">
        <is>
          <t>Adjacente INT</t>
        </is>
      </c>
      <c r="C23" s="12" t="inlineStr">
        <is>
          <t>Learning With Crayons</t>
        </is>
      </c>
      <c r="D23" s="14" t="inlineStr">
        <is>
          <t>buscar: Learning With Crayons YouTube</t>
        </is>
      </c>
      <c r="E23" s="12" t="inlineStr">
        <is>
          <t>Formato</t>
        </is>
      </c>
      <c r="F23" s="12" t="inlineStr">
        <is>
          <t>Medio</t>
        </is>
      </c>
      <c r="G23" s="12" t="inlineStr">
        <is>
          <t>A confirmar</t>
        </is>
      </c>
      <c r="H23" s="15" t="n"/>
      <c r="I23" s="15" t="n"/>
      <c r="J23" s="15" t="n"/>
      <c r="K23" s="12" t="inlineStr">
        <is>
          <t>a confirmar</t>
        </is>
      </c>
      <c r="L23" s="12" t="inlineStr">
        <is>
          <t>a confirmar</t>
        </is>
      </c>
      <c r="M23" s="12" t="inlineStr">
        <is>
          <t>Mais útil para visual e linguagem do que para tema central.</t>
        </is>
      </c>
    </row>
    <row r="24" ht="18" customHeight="1">
      <c r="A24" s="12" t="inlineStr">
        <is>
          <t>INT</t>
        </is>
      </c>
      <c r="B24" s="18" t="inlineStr">
        <is>
          <t>Macro/brand</t>
        </is>
      </c>
      <c r="C24" s="12" t="inlineStr">
        <is>
          <t>Simon Sinek</t>
        </is>
      </c>
      <c r="D24" s="14" t="inlineStr">
        <is>
          <t>buscar: Simon Sinek YouTube</t>
        </is>
      </c>
      <c r="E24" s="12" t="inlineStr">
        <is>
          <t>Brand</t>
        </is>
      </c>
      <c r="F24" s="12" t="inlineStr">
        <is>
          <t>Baixo</t>
        </is>
      </c>
      <c r="G24" s="12" t="inlineStr">
        <is>
          <t>Confirmado</t>
        </is>
      </c>
      <c r="H24" s="15" t="n">
        <v>2680000</v>
      </c>
      <c r="I24" s="15" t="n">
        <v>1152</v>
      </c>
      <c r="J24" s="15" t="n">
        <v>177000000</v>
      </c>
      <c r="K24" s="12" t="inlineStr">
        <is>
          <t>canal desde 2009-09</t>
        </is>
      </c>
      <c r="L24" s="12" t="inlineStr">
        <is>
          <t>livros, palestras, newsletter, licenciamento</t>
        </is>
      </c>
      <c r="M24" s="12" t="inlineStr">
        <is>
          <t>Brand/authority benchmark; não é concorrente direto.</t>
        </is>
      </c>
    </row>
    <row r="25" ht="18" customHeight="1">
      <c r="A25" s="12" t="inlineStr">
        <is>
          <t>INT</t>
        </is>
      </c>
      <c r="B25" s="18" t="inlineStr">
        <is>
          <t>Macro/brand</t>
        </is>
      </c>
      <c r="C25" s="12" t="inlineStr">
        <is>
          <t>Sir Ken Robinson</t>
        </is>
      </c>
      <c r="D25" s="14" t="inlineStr">
        <is>
          <t>buscar: Sir Ken Robinson YouTube</t>
        </is>
      </c>
      <c r="E25" s="12" t="inlineStr">
        <is>
          <t>Brand</t>
        </is>
      </c>
      <c r="F25" s="12" t="inlineStr">
        <is>
          <t>Baixo</t>
        </is>
      </c>
      <c r="G25" s="12" t="inlineStr">
        <is>
          <t>Confirmado</t>
        </is>
      </c>
      <c r="H25" s="15" t="n"/>
      <c r="I25" s="15" t="n"/>
      <c r="J25" s="15" t="n"/>
      <c r="K25" s="12" t="inlineStr">
        <is>
          <t>legacy brand</t>
        </is>
      </c>
      <c r="L25" s="12" t="inlineStr">
        <is>
          <t>books, speaking, workshops via legacy brand</t>
        </is>
      </c>
      <c r="M25" s="12" t="inlineStr">
        <is>
          <t>Ótimo para visão macro de educação e criatividade.</t>
        </is>
      </c>
    </row>
    <row r="26" ht="18" customHeight="1">
      <c r="A26" s="12" t="inlineStr">
        <is>
          <t>INT</t>
        </is>
      </c>
      <c r="B26" s="18" t="inlineStr">
        <is>
          <t>Macro/brand</t>
        </is>
      </c>
      <c r="C26" s="12" t="inlineStr">
        <is>
          <t>Jonathan Haidt</t>
        </is>
      </c>
      <c r="D26" s="14" t="inlineStr">
        <is>
          <t>buscar: Jonathan Haidt YouTube</t>
        </is>
      </c>
      <c r="E26" s="12" t="inlineStr">
        <is>
          <t>Tema</t>
        </is>
      </c>
      <c r="F26" s="12" t="inlineStr">
        <is>
          <t>Medio</t>
        </is>
      </c>
      <c r="G26" s="12" t="inlineStr">
        <is>
          <t>Confirmado</t>
        </is>
      </c>
      <c r="H26" s="15" t="n">
        <v>6190</v>
      </c>
      <c r="I26" s="15" t="n">
        <v>15</v>
      </c>
      <c r="J26" s="15" t="n">
        <v>46654</v>
      </c>
      <c r="K26" s="12" t="inlineStr">
        <is>
          <t>a confirmar</t>
        </is>
      </c>
      <c r="L26" s="12" t="inlineStr">
        <is>
          <t>books, talks, research, media appearances</t>
        </is>
      </c>
      <c r="M26" s="12" t="inlineStr">
        <is>
          <t>Muito bom para atenção, celular e impacto digital.</t>
        </is>
      </c>
    </row>
    <row r="27" ht="18" customHeight="1">
      <c r="A27" s="12" t="inlineStr">
        <is>
          <t>INT</t>
        </is>
      </c>
      <c r="B27" s="18" t="inlineStr">
        <is>
          <t>Macro/brand</t>
        </is>
      </c>
      <c r="C27" s="12" t="inlineStr">
        <is>
          <t>Erica Komisar</t>
        </is>
      </c>
      <c r="D27" s="14" t="inlineStr">
        <is>
          <t>buscar: Erica Komisar YouTube</t>
        </is>
      </c>
      <c r="E27" s="12" t="inlineStr">
        <is>
          <t>Tema</t>
        </is>
      </c>
      <c r="F27" s="12" t="inlineStr">
        <is>
          <t>Baixo</t>
        </is>
      </c>
      <c r="G27" s="12" t="inlineStr">
        <is>
          <t>Confirmado</t>
        </is>
      </c>
      <c r="H27" s="15" t="n"/>
      <c r="I27" s="15" t="n"/>
      <c r="J27" s="15" t="n"/>
      <c r="K27" s="12" t="inlineStr">
        <is>
          <t>a confirmar</t>
        </is>
      </c>
      <c r="L27" s="12" t="inlineStr">
        <is>
          <t>livros, palestras, consultoria</t>
        </is>
      </c>
      <c r="M27" s="12" t="inlineStr">
        <is>
          <t>Pai/mãe-criança e desenvolvimento; adjacente.</t>
        </is>
      </c>
    </row>
    <row r="28" ht="18" customHeight="1">
      <c r="A28" s="12" t="inlineStr">
        <is>
          <t>INT</t>
        </is>
      </c>
      <c r="B28" s="18" t="inlineStr">
        <is>
          <t>Macro/brand</t>
        </is>
      </c>
      <c r="C28" s="12" t="inlineStr">
        <is>
          <t>Good Enough Psychiatrist</t>
        </is>
      </c>
      <c r="D28" s="14" t="inlineStr">
        <is>
          <t>buscar: Good Enough Psychiatrist YouTube</t>
        </is>
      </c>
      <c r="E28" s="12" t="inlineStr">
        <is>
          <t>Tema</t>
        </is>
      </c>
      <c r="F28" s="12" t="inlineStr">
        <is>
          <t>Baixo</t>
        </is>
      </c>
      <c r="G28" s="12" t="inlineStr">
        <is>
          <t>Confirmado</t>
        </is>
      </c>
      <c r="H28" s="15" t="n"/>
      <c r="I28" s="15" t="n"/>
      <c r="J28" s="15" t="n"/>
      <c r="K28" s="12" t="inlineStr">
        <is>
          <t>a confirmar</t>
        </is>
      </c>
      <c r="L28" s="12" t="inlineStr">
        <is>
          <t>conteúdo, livro/brand, consultas e mídia</t>
        </is>
      </c>
      <c r="M28" s="12" t="inlineStr">
        <is>
          <t>Saúde mental em linguagem acessível; adjacente.</t>
        </is>
      </c>
    </row>
    <row r="29" ht="18" customHeight="1">
      <c r="A29" s="12" t="inlineStr">
        <is>
          <t>INT</t>
        </is>
      </c>
      <c r="B29" s="18" t="inlineStr">
        <is>
          <t>Macro/brand</t>
        </is>
      </c>
      <c r="C29" s="12" t="inlineStr">
        <is>
          <t>Yuval Noah Harari</t>
        </is>
      </c>
      <c r="D29" s="14" t="inlineStr">
        <is>
          <t>buscar: Yuval Noah Harari YouTube</t>
        </is>
      </c>
      <c r="E29" s="12" t="inlineStr">
        <is>
          <t>Brand</t>
        </is>
      </c>
      <c r="F29" s="12" t="inlineStr">
        <is>
          <t>Baixo</t>
        </is>
      </c>
      <c r="G29" s="12" t="inlineStr">
        <is>
          <t>Confirmado</t>
        </is>
      </c>
      <c r="H29" s="15" t="n"/>
      <c r="I29" s="15" t="n"/>
      <c r="J29" s="15" t="n"/>
      <c r="K29" s="12" t="inlineStr">
        <is>
          <t>a confirmar</t>
        </is>
      </c>
      <c r="L29" s="12" t="inlineStr">
        <is>
          <t>livros, palestras, mídia</t>
        </is>
      </c>
      <c r="M29" s="12" t="inlineStr">
        <is>
          <t>Macro demais; útil só para pensamento de longo prazo.</t>
        </is>
      </c>
    </row>
    <row r="30" ht="18" customHeight="1">
      <c r="A30" s="12" t="inlineStr">
        <is>
          <t>INT</t>
        </is>
      </c>
      <c r="B30" s="19" t="inlineStr">
        <is>
          <t>Formato/Humor</t>
        </is>
      </c>
      <c r="C30" s="12" t="inlineStr">
        <is>
          <t>Misguided Teacher</t>
        </is>
      </c>
      <c r="D30" s="14" t="inlineStr">
        <is>
          <t>buscar: Misguided Teacher YouTube</t>
        </is>
      </c>
      <c r="E30" s="12" t="inlineStr">
        <is>
          <t>Formato</t>
        </is>
      </c>
      <c r="F30" s="12" t="inlineStr">
        <is>
          <t>Baixo</t>
        </is>
      </c>
      <c r="G30" s="12" t="inlineStr">
        <is>
          <t>Confirmado</t>
        </is>
      </c>
      <c r="H30" s="15" t="n"/>
      <c r="I30" s="15" t="n"/>
      <c r="J30" s="15" t="n"/>
      <c r="K30" s="12" t="inlineStr">
        <is>
          <t>a confirmar</t>
        </is>
      </c>
      <c r="L30" s="12" t="inlineStr">
        <is>
          <t>humor e personagem</t>
        </is>
      </c>
      <c r="M30" s="12" t="inlineStr">
        <is>
          <t>Bom para ritmo, humor e relatabilidade de professor.</t>
        </is>
      </c>
    </row>
    <row r="31" ht="18" customHeight="1">
      <c r="A31" s="12" t="inlineStr">
        <is>
          <t>INT</t>
        </is>
      </c>
      <c r="B31" s="19" t="inlineStr">
        <is>
          <t>Formato/Humor</t>
        </is>
      </c>
      <c r="C31" s="12" t="inlineStr">
        <is>
          <t>American High Shorts</t>
        </is>
      </c>
      <c r="D31" s="14" t="inlineStr">
        <is>
          <t>buscar: American High Shorts YouTube</t>
        </is>
      </c>
      <c r="E31" s="12" t="inlineStr">
        <is>
          <t>Formato</t>
        </is>
      </c>
      <c r="F31" s="12" t="inlineStr">
        <is>
          <t>Baixo</t>
        </is>
      </c>
      <c r="G31" s="12" t="inlineStr">
        <is>
          <t>Confirmado</t>
        </is>
      </c>
      <c r="H31" s="15" t="n"/>
      <c r="I31" s="15" t="n"/>
      <c r="J31" s="15" t="n"/>
      <c r="K31" s="12" t="inlineStr">
        <is>
          <t>a confirmar</t>
        </is>
      </c>
      <c r="L31" s="12" t="inlineStr">
        <is>
          <t>shorts e entretenimento</t>
        </is>
      </c>
      <c r="M31" s="12" t="inlineStr">
        <is>
          <t>Estudar personagem, escola e timing.</t>
        </is>
      </c>
    </row>
    <row r="32" ht="18" customHeight="1">
      <c r="A32" s="12" t="inlineStr">
        <is>
          <t>INT</t>
        </is>
      </c>
      <c r="B32" s="19" t="inlineStr">
        <is>
          <t>Formato/Humor</t>
        </is>
      </c>
      <c r="C32" s="12" t="inlineStr">
        <is>
          <t>LaNia the Artist</t>
        </is>
      </c>
      <c r="D32" s="14" t="inlineStr">
        <is>
          <t>buscar: LaNia the Artist YouTube</t>
        </is>
      </c>
      <c r="E32" s="12" t="inlineStr">
        <is>
          <t>Formato</t>
        </is>
      </c>
      <c r="F32" s="12" t="inlineStr">
        <is>
          <t>Baixo</t>
        </is>
      </c>
      <c r="G32" s="12" t="inlineStr">
        <is>
          <t>Confirmado</t>
        </is>
      </c>
      <c r="H32" s="15" t="n"/>
      <c r="I32" s="15" t="n"/>
      <c r="J32" s="15" t="n"/>
      <c r="K32" s="12" t="inlineStr">
        <is>
          <t>a confirmar</t>
        </is>
      </c>
      <c r="L32" s="12" t="inlineStr">
        <is>
          <t>humor/arte/personagem</t>
        </is>
      </c>
      <c r="M32" s="12" t="inlineStr">
        <is>
          <t>Útil para leveza e identidade visual.</t>
        </is>
      </c>
    </row>
    <row r="33" ht="18" customHeight="1">
      <c r="A33" s="12" t="inlineStr">
        <is>
          <t>INT</t>
        </is>
      </c>
      <c r="B33" s="19" t="inlineStr">
        <is>
          <t>Formato/Humor</t>
        </is>
      </c>
      <c r="C33" s="12" t="inlineStr">
        <is>
          <t>Vincent Van Nope</t>
        </is>
      </c>
      <c r="D33" s="14" t="inlineStr">
        <is>
          <t>buscar: Vincent Van Nope YouTube</t>
        </is>
      </c>
      <c r="E33" s="12" t="inlineStr">
        <is>
          <t>Formato</t>
        </is>
      </c>
      <c r="F33" s="12" t="inlineStr">
        <is>
          <t>Baixo</t>
        </is>
      </c>
      <c r="G33" s="12" t="inlineStr">
        <is>
          <t>Confirmado</t>
        </is>
      </c>
      <c r="H33" s="15" t="n"/>
      <c r="I33" s="15" t="n"/>
      <c r="J33" s="15" t="n"/>
      <c r="K33" s="12" t="inlineStr">
        <is>
          <t>a confirmar</t>
        </is>
      </c>
      <c r="L33" s="12" t="inlineStr">
        <is>
          <t>humor/personagem</t>
        </is>
      </c>
      <c r="M33" s="12" t="inlineStr">
        <is>
          <t>Bom para estudar linguagem visual e punchline.</t>
        </is>
      </c>
    </row>
  </sheetData>
  <autoFilter ref="A4:M33"/>
  <mergeCells count="3">
    <mergeCell ref="A3:G3"/>
    <mergeCell ref="A2:G2"/>
    <mergeCell ref="A1:G1"/>
  </mergeCells>
  <dataValidations count="4">
    <dataValidation sqref="F5:F200" showDropDown="1" showInputMessage="0" showErrorMessage="0" allowBlank="1" type="list">
      <formula1>"Alto,Medio,Baixo"</formula1>
    </dataValidation>
    <dataValidation sqref="B5:B500" showDropDown="0" showInputMessage="0" showErrorMessage="0" allowBlank="1" type="list">
      <formula1>"Direto BR,Direto INT,Adjacente BR,Adjacente INT,Macro/brand,Formato/Humor"</formula1>
    </dataValidation>
    <dataValidation sqref="F5:F500" showDropDown="0" showInputMessage="0" showErrorMessage="0" allowBlank="1" type="list">
      <formula1>"Alto,Medio,Baixo"</formula1>
    </dataValidation>
    <dataValidation sqref="G5:G500" showDropDown="0" showInputMessage="0" showErrorMessage="0" allowBlank="1" type="list">
      <formula1>"Confirmado,A confirmar,Descartar"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A62"/>
    <outlinePr summaryBelow="1" summaryRight="1"/>
    <pageSetUpPr/>
  </sheetPr>
  <dimension ref="A1:AB204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8"/>
  <cols>
    <col width="12" customWidth="1" min="1" max="1"/>
    <col width="12" customWidth="1" min="2" max="2"/>
    <col width="24" customWidth="1" min="3" max="3"/>
    <col width="16" customWidth="1" min="4" max="4"/>
    <col width="28" customWidth="1" min="5" max="5"/>
    <col width="14" customWidth="1" min="6" max="6"/>
    <col width="40" customWidth="1" min="7" max="7"/>
    <col width="20" customWidth="1" min="8" max="8"/>
    <col width="24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6" customWidth="1" min="16" max="16"/>
    <col width="15" customWidth="1" min="17" max="17"/>
    <col width="30" customWidth="1" min="18" max="18"/>
    <col width="34" customWidth="1" min="19" max="19"/>
    <col width="14" customWidth="1" min="20" max="20"/>
    <col width="22" customWidth="1" min="21" max="21"/>
    <col width="18" customWidth="1" min="22" max="22"/>
    <col width="20" customWidth="1" min="23" max="23"/>
    <col width="18" customWidth="1" min="24" max="24"/>
    <col width="18" customWidth="1" min="25" max="25"/>
    <col width="16" customWidth="1" min="26" max="26"/>
    <col width="14" customWidth="1" min="27" max="27"/>
    <col width="16" customWidth="1" min="28" max="28"/>
  </cols>
  <sheetData>
    <row r="1" ht="24" customHeight="1">
      <c r="A1" s="1" t="inlineStr">
        <is>
          <t>Log de Conteúdo Viral - YouTube</t>
        </is>
      </c>
    </row>
    <row r="2" ht="24" customHeight="1">
      <c r="A2" s="2" t="inlineStr">
        <is>
          <t>Registre os vídeos com melhor desempenho. Para YouTube, título e thumbnail ganham peso junto com views, retenção e comentários.</t>
        </is>
      </c>
    </row>
    <row r="3" ht="24" customHeight="1">
      <c r="A3" s="10" t="inlineStr">
        <is>
          <t>Preencha primeiro os vídeos que mais performaram por canal. Use a aba como uma biblioteca de ganchos, temas e formatos.</t>
        </is>
      </c>
    </row>
    <row r="4" ht="24" customHeight="1">
      <c r="A4" s="11" t="inlineStr">
        <is>
          <t>Data do vídeo</t>
        </is>
      </c>
      <c r="B4" s="11" t="inlineStr">
        <is>
          <t>Data de coleta</t>
        </is>
      </c>
      <c r="C4" s="11" t="inlineStr">
        <is>
          <t>Canal</t>
        </is>
      </c>
      <c r="D4" s="11" t="inlineStr">
        <is>
          <t>Categoria</t>
        </is>
      </c>
      <c r="E4" s="11" t="inlineStr">
        <is>
          <t>URL / busca</t>
        </is>
      </c>
      <c r="F4" s="11" t="inlineStr">
        <is>
          <t>Formato</t>
        </is>
      </c>
      <c r="G4" s="11" t="inlineStr">
        <is>
          <t>Título</t>
        </is>
      </c>
      <c r="H4" s="11" t="inlineStr">
        <is>
          <t>Tema</t>
        </is>
      </c>
      <c r="I4" s="11" t="inlineStr">
        <is>
          <t>Gancho do título</t>
        </is>
      </c>
      <c r="J4" s="11" t="inlineStr">
        <is>
          <t>Gancho visual / thumbnail</t>
        </is>
      </c>
      <c r="K4" s="11" t="inlineStr">
        <is>
          <t>Duração</t>
        </is>
      </c>
      <c r="L4" s="11" t="inlineStr">
        <is>
          <t>Views</t>
        </is>
      </c>
      <c r="M4" s="11" t="inlineStr">
        <is>
          <t>Likes</t>
        </is>
      </c>
      <c r="N4" s="11" t="inlineStr">
        <is>
          <t>Comentários</t>
        </is>
      </c>
      <c r="O4" s="11" t="inlineStr">
        <is>
          <t>Compartilhamentos</t>
        </is>
      </c>
      <c r="P4" s="11" t="inlineStr">
        <is>
          <t>Retenção / AVD (se disponível)</t>
        </is>
      </c>
      <c r="Q4" s="11" t="inlineStr">
        <is>
          <t>Subs ganhos (se disponível)</t>
        </is>
      </c>
      <c r="R4" s="11" t="inlineStr">
        <is>
          <t>O que fez funcionar</t>
        </is>
      </c>
      <c r="S4" s="11" t="inlineStr">
        <is>
          <t>Como adaptar para Professor Rafael</t>
        </is>
      </c>
      <c r="T4" s="11" t="inlineStr">
        <is>
          <t>Status</t>
        </is>
      </c>
      <c r="U4" s="11" t="inlineStr">
        <is>
          <t>Comentários temáticos</t>
        </is>
      </c>
      <c r="V4" s="11" t="inlineStr">
        <is>
          <t>Subtema</t>
        </is>
      </c>
      <c r="W4" s="11" t="inlineStr">
        <is>
          <t>Tema concorrente</t>
        </is>
      </c>
      <c r="X4" s="11" t="inlineStr">
        <is>
          <t>Tipo de comentário</t>
        </is>
      </c>
      <c r="Y4" s="11" t="inlineStr">
        <is>
          <t>Sinal de demanda</t>
        </is>
      </c>
      <c r="Z4" s="11" t="inlineStr">
        <is>
          <t>Comentários / 1k views</t>
        </is>
      </c>
      <c r="AA4" s="11" t="inlineStr">
        <is>
          <t>Likes / 1k views</t>
        </is>
      </c>
      <c r="AB4" s="11" t="inlineStr">
        <is>
          <t>Score viral (0-10)</t>
        </is>
      </c>
    </row>
    <row r="5" ht="18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5" t="inlineStr"/>
      <c r="M5" s="15" t="inlineStr"/>
      <c r="N5" s="15" t="inlineStr"/>
      <c r="O5" s="15" t="inlineStr"/>
      <c r="P5" s="15" t="inlineStr"/>
      <c r="Q5" s="15" t="inlineStr"/>
      <c r="R5" s="12" t="inlineStr"/>
      <c r="S5" s="12" t="inlineStr"/>
      <c r="T5" s="12" t="inlineStr"/>
      <c r="U5" s="12" t="n"/>
      <c r="V5" s="12" t="n"/>
      <c r="W5" s="12" t="n"/>
      <c r="X5" s="12" t="n"/>
      <c r="Y5" s="12" t="n"/>
      <c r="Z5" s="20">
        <f>IFERROR(N5/L5*1000,"")</f>
        <v/>
      </c>
      <c r="AA5" s="20">
        <f>IFERROR(M5/L5*1000,"")</f>
        <v/>
      </c>
      <c r="AB5" s="20" t="n"/>
    </row>
    <row r="6" ht="18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5" t="inlineStr"/>
      <c r="M6" s="15" t="inlineStr"/>
      <c r="N6" s="15" t="inlineStr"/>
      <c r="O6" s="15" t="inlineStr"/>
      <c r="P6" s="15" t="inlineStr"/>
      <c r="Q6" s="15" t="inlineStr"/>
      <c r="R6" s="12" t="inlineStr"/>
      <c r="S6" s="12" t="inlineStr"/>
      <c r="T6" s="12" t="inlineStr"/>
      <c r="U6" s="12" t="n"/>
      <c r="V6" s="12" t="n"/>
      <c r="W6" s="12" t="n"/>
      <c r="X6" s="12" t="n"/>
      <c r="Y6" s="12" t="n"/>
      <c r="Z6" s="20">
        <f>IFERROR(N6/L6*1000,"")</f>
        <v/>
      </c>
      <c r="AA6" s="20">
        <f>IFERROR(M6/L6*1000,"")</f>
        <v/>
      </c>
      <c r="AB6" s="20" t="n"/>
    </row>
    <row r="7" ht="18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5" t="inlineStr"/>
      <c r="M7" s="15" t="inlineStr"/>
      <c r="N7" s="15" t="inlineStr"/>
      <c r="O7" s="15" t="inlineStr"/>
      <c r="P7" s="15" t="inlineStr"/>
      <c r="Q7" s="15" t="inlineStr"/>
      <c r="R7" s="12" t="inlineStr"/>
      <c r="S7" s="12" t="inlineStr"/>
      <c r="T7" s="12" t="inlineStr"/>
      <c r="U7" s="12" t="n"/>
      <c r="V7" s="12" t="n"/>
      <c r="W7" s="12" t="n"/>
      <c r="X7" s="12" t="n"/>
      <c r="Y7" s="12" t="n"/>
      <c r="Z7" s="20">
        <f>IFERROR(N7/L7*1000,"")</f>
        <v/>
      </c>
      <c r="AA7" s="20">
        <f>IFERROR(M7/L7*1000,"")</f>
        <v/>
      </c>
      <c r="AB7" s="20" t="n"/>
    </row>
    <row r="8" ht="18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5" t="inlineStr"/>
      <c r="M8" s="15" t="inlineStr"/>
      <c r="N8" s="15" t="inlineStr"/>
      <c r="O8" s="15" t="inlineStr"/>
      <c r="P8" s="15" t="inlineStr"/>
      <c r="Q8" s="15" t="inlineStr"/>
      <c r="R8" s="12" t="inlineStr"/>
      <c r="S8" s="12" t="inlineStr"/>
      <c r="T8" s="12" t="inlineStr"/>
      <c r="U8" s="12" t="n"/>
      <c r="V8" s="12" t="n"/>
      <c r="W8" s="12" t="n"/>
      <c r="X8" s="12" t="n"/>
      <c r="Y8" s="12" t="n"/>
      <c r="Z8" s="20">
        <f>IFERROR(N8/L8*1000,"")</f>
        <v/>
      </c>
      <c r="AA8" s="20">
        <f>IFERROR(M8/L8*1000,"")</f>
        <v/>
      </c>
      <c r="AB8" s="20" t="n"/>
    </row>
    <row r="9" ht="18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5" t="inlineStr"/>
      <c r="M9" s="15" t="inlineStr"/>
      <c r="N9" s="15" t="inlineStr"/>
      <c r="O9" s="15" t="inlineStr"/>
      <c r="P9" s="15" t="inlineStr"/>
      <c r="Q9" s="15" t="inlineStr"/>
      <c r="R9" s="12" t="inlineStr"/>
      <c r="S9" s="12" t="inlineStr"/>
      <c r="T9" s="12" t="inlineStr"/>
      <c r="U9" s="12" t="n"/>
      <c r="V9" s="12" t="n"/>
      <c r="W9" s="12" t="n"/>
      <c r="X9" s="12" t="n"/>
      <c r="Y9" s="12" t="n"/>
      <c r="Z9" s="20">
        <f>IFERROR(N9/L9*1000,"")</f>
        <v/>
      </c>
      <c r="AA9" s="20">
        <f>IFERROR(M9/L9*1000,"")</f>
        <v/>
      </c>
      <c r="AB9" s="20" t="n"/>
    </row>
    <row r="10" ht="18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5" t="inlineStr"/>
      <c r="M10" s="15" t="inlineStr"/>
      <c r="N10" s="15" t="inlineStr"/>
      <c r="O10" s="15" t="inlineStr"/>
      <c r="P10" s="15" t="inlineStr"/>
      <c r="Q10" s="15" t="inlineStr"/>
      <c r="R10" s="12" t="inlineStr"/>
      <c r="S10" s="12" t="inlineStr"/>
      <c r="T10" s="12" t="inlineStr"/>
      <c r="U10" s="12" t="n"/>
      <c r="V10" s="12" t="n"/>
      <c r="W10" s="12" t="n"/>
      <c r="X10" s="12" t="n"/>
      <c r="Y10" s="12" t="n"/>
      <c r="Z10" s="20">
        <f>IFERROR(N10/L10*1000,"")</f>
        <v/>
      </c>
      <c r="AA10" s="20">
        <f>IFERROR(M10/L10*1000,"")</f>
        <v/>
      </c>
      <c r="AB10" s="20" t="n"/>
    </row>
    <row r="11" ht="18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5" t="inlineStr"/>
      <c r="M11" s="15" t="inlineStr"/>
      <c r="N11" s="15" t="inlineStr"/>
      <c r="O11" s="15" t="inlineStr"/>
      <c r="P11" s="15" t="inlineStr"/>
      <c r="Q11" s="15" t="inlineStr"/>
      <c r="R11" s="12" t="inlineStr"/>
      <c r="S11" s="12" t="inlineStr"/>
      <c r="T11" s="12" t="inlineStr"/>
      <c r="U11" s="12" t="n"/>
      <c r="V11" s="12" t="n"/>
      <c r="W11" s="12" t="n"/>
      <c r="X11" s="12" t="n"/>
      <c r="Y11" s="12" t="n"/>
      <c r="Z11" s="20">
        <f>IFERROR(N11/L11*1000,"")</f>
        <v/>
      </c>
      <c r="AA11" s="20">
        <f>IFERROR(M11/L11*1000,"")</f>
        <v/>
      </c>
      <c r="AB11" s="20" t="n"/>
    </row>
    <row r="12" ht="18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5" t="inlineStr"/>
      <c r="M12" s="15" t="inlineStr"/>
      <c r="N12" s="15" t="inlineStr"/>
      <c r="O12" s="15" t="inlineStr"/>
      <c r="P12" s="15" t="inlineStr"/>
      <c r="Q12" s="15" t="inlineStr"/>
      <c r="R12" s="12" t="inlineStr"/>
      <c r="S12" s="12" t="inlineStr"/>
      <c r="T12" s="12" t="inlineStr"/>
      <c r="U12" s="12" t="n"/>
      <c r="V12" s="12" t="n"/>
      <c r="W12" s="12" t="n"/>
      <c r="X12" s="12" t="n"/>
      <c r="Y12" s="12" t="n"/>
      <c r="Z12" s="20">
        <f>IFERROR(N12/L12*1000,"")</f>
        <v/>
      </c>
      <c r="AA12" s="20">
        <f>IFERROR(M12/L12*1000,"")</f>
        <v/>
      </c>
      <c r="AB12" s="20" t="n"/>
    </row>
    <row r="13" ht="18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5" t="inlineStr"/>
      <c r="M13" s="15" t="inlineStr"/>
      <c r="N13" s="15" t="inlineStr"/>
      <c r="O13" s="15" t="inlineStr"/>
      <c r="P13" s="15" t="inlineStr"/>
      <c r="Q13" s="15" t="inlineStr"/>
      <c r="R13" s="12" t="inlineStr"/>
      <c r="S13" s="12" t="inlineStr"/>
      <c r="T13" s="12" t="inlineStr"/>
      <c r="U13" s="12" t="n"/>
      <c r="V13" s="12" t="n"/>
      <c r="W13" s="12" t="n"/>
      <c r="X13" s="12" t="n"/>
      <c r="Y13" s="12" t="n"/>
      <c r="Z13" s="20">
        <f>IFERROR(N13/L13*1000,"")</f>
        <v/>
      </c>
      <c r="AA13" s="20">
        <f>IFERROR(M13/L13*1000,"")</f>
        <v/>
      </c>
      <c r="AB13" s="20" t="n"/>
    </row>
    <row r="14" ht="18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5" t="inlineStr"/>
      <c r="M14" s="15" t="inlineStr"/>
      <c r="N14" s="15" t="inlineStr"/>
      <c r="O14" s="15" t="inlineStr"/>
      <c r="P14" s="15" t="inlineStr"/>
      <c r="Q14" s="15" t="inlineStr"/>
      <c r="R14" s="12" t="inlineStr"/>
      <c r="S14" s="12" t="inlineStr"/>
      <c r="T14" s="12" t="inlineStr"/>
      <c r="U14" s="12" t="n"/>
      <c r="V14" s="12" t="n"/>
      <c r="W14" s="12" t="n"/>
      <c r="X14" s="12" t="n"/>
      <c r="Y14" s="12" t="n"/>
      <c r="Z14" s="20">
        <f>IFERROR(N14/L14*1000,"")</f>
        <v/>
      </c>
      <c r="AA14" s="20">
        <f>IFERROR(M14/L14*1000,"")</f>
        <v/>
      </c>
      <c r="AB14" s="20" t="n"/>
    </row>
    <row r="15" ht="18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5" t="inlineStr"/>
      <c r="M15" s="15" t="inlineStr"/>
      <c r="N15" s="15" t="inlineStr"/>
      <c r="O15" s="15" t="inlineStr"/>
      <c r="P15" s="15" t="inlineStr"/>
      <c r="Q15" s="15" t="inlineStr"/>
      <c r="R15" s="12" t="inlineStr"/>
      <c r="S15" s="12" t="inlineStr"/>
      <c r="T15" s="12" t="inlineStr"/>
      <c r="U15" s="12" t="n"/>
      <c r="V15" s="12" t="n"/>
      <c r="W15" s="12" t="n"/>
      <c r="X15" s="12" t="n"/>
      <c r="Y15" s="12" t="n"/>
      <c r="Z15" s="20">
        <f>IFERROR(N15/L15*1000,"")</f>
        <v/>
      </c>
      <c r="AA15" s="20">
        <f>IFERROR(M15/L15*1000,"")</f>
        <v/>
      </c>
      <c r="AB15" s="20" t="n"/>
    </row>
    <row r="16" ht="18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5" t="inlineStr"/>
      <c r="M16" s="15" t="inlineStr"/>
      <c r="N16" s="15" t="inlineStr"/>
      <c r="O16" s="15" t="inlineStr"/>
      <c r="P16" s="15" t="inlineStr"/>
      <c r="Q16" s="15" t="inlineStr"/>
      <c r="R16" s="12" t="inlineStr"/>
      <c r="S16" s="12" t="inlineStr"/>
      <c r="T16" s="12" t="inlineStr"/>
      <c r="U16" s="12" t="n"/>
      <c r="V16" s="12" t="n"/>
      <c r="W16" s="12" t="n"/>
      <c r="X16" s="12" t="n"/>
      <c r="Y16" s="12" t="n"/>
      <c r="Z16" s="20">
        <f>IFERROR(N16/L16*1000,"")</f>
        <v/>
      </c>
      <c r="AA16" s="20">
        <f>IFERROR(M16/L16*1000,"")</f>
        <v/>
      </c>
      <c r="AB16" s="20" t="n"/>
    </row>
    <row r="17" ht="18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5" t="inlineStr"/>
      <c r="M17" s="15" t="inlineStr"/>
      <c r="N17" s="15" t="inlineStr"/>
      <c r="O17" s="15" t="inlineStr"/>
      <c r="P17" s="15" t="inlineStr"/>
      <c r="Q17" s="15" t="inlineStr"/>
      <c r="R17" s="12" t="inlineStr"/>
      <c r="S17" s="12" t="inlineStr"/>
      <c r="T17" s="12" t="inlineStr"/>
      <c r="U17" s="12" t="n"/>
      <c r="V17" s="12" t="n"/>
      <c r="W17" s="12" t="n"/>
      <c r="X17" s="12" t="n"/>
      <c r="Y17" s="12" t="n"/>
      <c r="Z17" s="20">
        <f>IFERROR(N17/L17*1000,"")</f>
        <v/>
      </c>
      <c r="AA17" s="20">
        <f>IFERROR(M17/L17*1000,"")</f>
        <v/>
      </c>
      <c r="AB17" s="20" t="n"/>
    </row>
    <row r="18" ht="18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5" t="inlineStr"/>
      <c r="M18" s="15" t="inlineStr"/>
      <c r="N18" s="15" t="inlineStr"/>
      <c r="O18" s="15" t="inlineStr"/>
      <c r="P18" s="15" t="inlineStr"/>
      <c r="Q18" s="15" t="inlineStr"/>
      <c r="R18" s="12" t="inlineStr"/>
      <c r="S18" s="12" t="inlineStr"/>
      <c r="T18" s="12" t="inlineStr"/>
      <c r="U18" s="12" t="n"/>
      <c r="V18" s="12" t="n"/>
      <c r="W18" s="12" t="n"/>
      <c r="X18" s="12" t="n"/>
      <c r="Y18" s="12" t="n"/>
      <c r="Z18" s="20">
        <f>IFERROR(N18/L18*1000,"")</f>
        <v/>
      </c>
      <c r="AA18" s="20">
        <f>IFERROR(M18/L18*1000,"")</f>
        <v/>
      </c>
      <c r="AB18" s="20" t="n"/>
    </row>
    <row r="19" ht="18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5" t="inlineStr"/>
      <c r="M19" s="15" t="inlineStr"/>
      <c r="N19" s="15" t="inlineStr"/>
      <c r="O19" s="15" t="inlineStr"/>
      <c r="P19" s="15" t="inlineStr"/>
      <c r="Q19" s="15" t="inlineStr"/>
      <c r="R19" s="12" t="inlineStr"/>
      <c r="S19" s="12" t="inlineStr"/>
      <c r="T19" s="12" t="inlineStr"/>
      <c r="U19" s="12" t="n"/>
      <c r="V19" s="12" t="n"/>
      <c r="W19" s="12" t="n"/>
      <c r="X19" s="12" t="n"/>
      <c r="Y19" s="12" t="n"/>
      <c r="Z19" s="20">
        <f>IFERROR(N19/L19*1000,"")</f>
        <v/>
      </c>
      <c r="AA19" s="20">
        <f>IFERROR(M19/L19*1000,"")</f>
        <v/>
      </c>
      <c r="AB19" s="20" t="n"/>
    </row>
    <row r="20" ht="18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5" t="inlineStr"/>
      <c r="M20" s="15" t="inlineStr"/>
      <c r="N20" s="15" t="inlineStr"/>
      <c r="O20" s="15" t="inlineStr"/>
      <c r="P20" s="15" t="inlineStr"/>
      <c r="Q20" s="15" t="inlineStr"/>
      <c r="R20" s="12" t="inlineStr"/>
      <c r="S20" s="12" t="inlineStr"/>
      <c r="T20" s="12" t="inlineStr"/>
      <c r="U20" s="12" t="n"/>
      <c r="V20" s="12" t="n"/>
      <c r="W20" s="12" t="n"/>
      <c r="X20" s="12" t="n"/>
      <c r="Y20" s="12" t="n"/>
      <c r="Z20" s="20">
        <f>IFERROR(N20/L20*1000,"")</f>
        <v/>
      </c>
      <c r="AA20" s="20">
        <f>IFERROR(M20/L20*1000,"")</f>
        <v/>
      </c>
      <c r="AB20" s="20" t="n"/>
    </row>
    <row r="21" ht="18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5" t="inlineStr"/>
      <c r="M21" s="15" t="inlineStr"/>
      <c r="N21" s="15" t="inlineStr"/>
      <c r="O21" s="15" t="inlineStr"/>
      <c r="P21" s="15" t="inlineStr"/>
      <c r="Q21" s="15" t="inlineStr"/>
      <c r="R21" s="12" t="inlineStr"/>
      <c r="S21" s="12" t="inlineStr"/>
      <c r="T21" s="12" t="inlineStr"/>
      <c r="U21" s="12" t="n"/>
      <c r="V21" s="12" t="n"/>
      <c r="W21" s="12" t="n"/>
      <c r="X21" s="12" t="n"/>
      <c r="Y21" s="12" t="n"/>
      <c r="Z21" s="20">
        <f>IFERROR(N21/L21*1000,"")</f>
        <v/>
      </c>
      <c r="AA21" s="20">
        <f>IFERROR(M21/L21*1000,"")</f>
        <v/>
      </c>
      <c r="AB21" s="20" t="n"/>
    </row>
    <row r="22" ht="18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5" t="inlineStr"/>
      <c r="M22" s="15" t="inlineStr"/>
      <c r="N22" s="15" t="inlineStr"/>
      <c r="O22" s="15" t="inlineStr"/>
      <c r="P22" s="15" t="inlineStr"/>
      <c r="Q22" s="15" t="inlineStr"/>
      <c r="R22" s="12" t="inlineStr"/>
      <c r="S22" s="12" t="inlineStr"/>
      <c r="T22" s="12" t="inlineStr"/>
      <c r="U22" s="12" t="n"/>
      <c r="V22" s="12" t="n"/>
      <c r="W22" s="12" t="n"/>
      <c r="X22" s="12" t="n"/>
      <c r="Y22" s="12" t="n"/>
      <c r="Z22" s="20">
        <f>IFERROR(N22/L22*1000,"")</f>
        <v/>
      </c>
      <c r="AA22" s="20">
        <f>IFERROR(M22/L22*1000,"")</f>
        <v/>
      </c>
      <c r="AB22" s="20" t="n"/>
    </row>
    <row r="23" ht="18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5" t="inlineStr"/>
      <c r="M23" s="15" t="inlineStr"/>
      <c r="N23" s="15" t="inlineStr"/>
      <c r="O23" s="15" t="inlineStr"/>
      <c r="P23" s="15" t="inlineStr"/>
      <c r="Q23" s="15" t="inlineStr"/>
      <c r="R23" s="12" t="inlineStr"/>
      <c r="S23" s="12" t="inlineStr"/>
      <c r="T23" s="12" t="inlineStr"/>
      <c r="U23" s="12" t="n"/>
      <c r="V23" s="12" t="n"/>
      <c r="W23" s="12" t="n"/>
      <c r="X23" s="12" t="n"/>
      <c r="Y23" s="12" t="n"/>
      <c r="Z23" s="20">
        <f>IFERROR(N23/L23*1000,"")</f>
        <v/>
      </c>
      <c r="AA23" s="20">
        <f>IFERROR(M23/L23*1000,"")</f>
        <v/>
      </c>
      <c r="AB23" s="20" t="n"/>
    </row>
    <row r="24" ht="18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5" t="inlineStr"/>
      <c r="M24" s="15" t="inlineStr"/>
      <c r="N24" s="15" t="inlineStr"/>
      <c r="O24" s="15" t="inlineStr"/>
      <c r="P24" s="15" t="inlineStr"/>
      <c r="Q24" s="15" t="inlineStr"/>
      <c r="R24" s="12" t="inlineStr"/>
      <c r="S24" s="12" t="inlineStr"/>
      <c r="T24" s="12" t="inlineStr"/>
      <c r="U24" s="12" t="n"/>
      <c r="V24" s="12" t="n"/>
      <c r="W24" s="12" t="n"/>
      <c r="X24" s="12" t="n"/>
      <c r="Y24" s="12" t="n"/>
      <c r="Z24" s="20">
        <f>IFERROR(N24/L24*1000,"")</f>
        <v/>
      </c>
      <c r="AA24" s="20">
        <f>IFERROR(M24/L24*1000,"")</f>
        <v/>
      </c>
      <c r="AB24" s="20" t="n"/>
    </row>
    <row r="25" ht="18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5" t="inlineStr"/>
      <c r="M25" s="15" t="inlineStr"/>
      <c r="N25" s="15" t="inlineStr"/>
      <c r="O25" s="15" t="inlineStr"/>
      <c r="P25" s="15" t="inlineStr"/>
      <c r="Q25" s="15" t="inlineStr"/>
      <c r="R25" s="12" t="inlineStr"/>
      <c r="S25" s="12" t="inlineStr"/>
      <c r="T25" s="12" t="inlineStr"/>
      <c r="U25" s="12" t="n"/>
      <c r="V25" s="12" t="n"/>
      <c r="W25" s="12" t="n"/>
      <c r="X25" s="12" t="n"/>
      <c r="Y25" s="12" t="n"/>
      <c r="Z25" s="20">
        <f>IFERROR(N25/L25*1000,"")</f>
        <v/>
      </c>
      <c r="AA25" s="20">
        <f>IFERROR(M25/L25*1000,"")</f>
        <v/>
      </c>
      <c r="AB25" s="20" t="n"/>
    </row>
    <row r="26" ht="18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5" t="inlineStr"/>
      <c r="M26" s="15" t="inlineStr"/>
      <c r="N26" s="15" t="inlineStr"/>
      <c r="O26" s="15" t="inlineStr"/>
      <c r="P26" s="15" t="inlineStr"/>
      <c r="Q26" s="15" t="inlineStr"/>
      <c r="R26" s="12" t="inlineStr"/>
      <c r="S26" s="12" t="inlineStr"/>
      <c r="T26" s="12" t="inlineStr"/>
      <c r="U26" s="12" t="n"/>
      <c r="V26" s="12" t="n"/>
      <c r="W26" s="12" t="n"/>
      <c r="X26" s="12" t="n"/>
      <c r="Y26" s="12" t="n"/>
      <c r="Z26" s="20">
        <f>IFERROR(N26/L26*1000,"")</f>
        <v/>
      </c>
      <c r="AA26" s="20">
        <f>IFERROR(M26/L26*1000,"")</f>
        <v/>
      </c>
      <c r="AB26" s="20" t="n"/>
    </row>
    <row r="27" ht="18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5" t="inlineStr"/>
      <c r="M27" s="15" t="inlineStr"/>
      <c r="N27" s="15" t="inlineStr"/>
      <c r="O27" s="15" t="inlineStr"/>
      <c r="P27" s="15" t="inlineStr"/>
      <c r="Q27" s="15" t="inlineStr"/>
      <c r="R27" s="12" t="inlineStr"/>
      <c r="S27" s="12" t="inlineStr"/>
      <c r="T27" s="12" t="inlineStr"/>
      <c r="U27" s="12" t="n"/>
      <c r="V27" s="12" t="n"/>
      <c r="W27" s="12" t="n"/>
      <c r="X27" s="12" t="n"/>
      <c r="Y27" s="12" t="n"/>
      <c r="Z27" s="20">
        <f>IFERROR(N27/L27*1000,"")</f>
        <v/>
      </c>
      <c r="AA27" s="20">
        <f>IFERROR(M27/L27*1000,"")</f>
        <v/>
      </c>
      <c r="AB27" s="20" t="n"/>
    </row>
    <row r="28" ht="18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5" t="inlineStr"/>
      <c r="M28" s="15" t="inlineStr"/>
      <c r="N28" s="15" t="inlineStr"/>
      <c r="O28" s="15" t="inlineStr"/>
      <c r="P28" s="15" t="inlineStr"/>
      <c r="Q28" s="15" t="inlineStr"/>
      <c r="R28" s="12" t="inlineStr"/>
      <c r="S28" s="12" t="inlineStr"/>
      <c r="T28" s="12" t="inlineStr"/>
      <c r="U28" s="12" t="n"/>
      <c r="V28" s="12" t="n"/>
      <c r="W28" s="12" t="n"/>
      <c r="X28" s="12" t="n"/>
      <c r="Y28" s="12" t="n"/>
      <c r="Z28" s="20">
        <f>IFERROR(N28/L28*1000,"")</f>
        <v/>
      </c>
      <c r="AA28" s="20">
        <f>IFERROR(M28/L28*1000,"")</f>
        <v/>
      </c>
      <c r="AB28" s="20" t="n"/>
    </row>
    <row r="29" ht="18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5" t="inlineStr"/>
      <c r="M29" s="15" t="inlineStr"/>
      <c r="N29" s="15" t="inlineStr"/>
      <c r="O29" s="15" t="inlineStr"/>
      <c r="P29" s="15" t="inlineStr"/>
      <c r="Q29" s="15" t="inlineStr"/>
      <c r="R29" s="12" t="inlineStr"/>
      <c r="S29" s="12" t="inlineStr"/>
      <c r="T29" s="12" t="inlineStr"/>
      <c r="U29" s="12" t="n"/>
      <c r="V29" s="12" t="n"/>
      <c r="W29" s="12" t="n"/>
      <c r="X29" s="12" t="n"/>
      <c r="Y29" s="12" t="n"/>
      <c r="Z29" s="20">
        <f>IFERROR(N29/L29*1000,"")</f>
        <v/>
      </c>
      <c r="AA29" s="20">
        <f>IFERROR(M29/L29*1000,"")</f>
        <v/>
      </c>
      <c r="AB29" s="20" t="n"/>
    </row>
    <row r="30" ht="18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5" t="inlineStr"/>
      <c r="M30" s="15" t="inlineStr"/>
      <c r="N30" s="15" t="inlineStr"/>
      <c r="O30" s="15" t="inlineStr"/>
      <c r="P30" s="15" t="inlineStr"/>
      <c r="Q30" s="15" t="inlineStr"/>
      <c r="R30" s="12" t="inlineStr"/>
      <c r="S30" s="12" t="inlineStr"/>
      <c r="T30" s="12" t="inlineStr"/>
      <c r="U30" s="12" t="n"/>
      <c r="V30" s="12" t="n"/>
      <c r="W30" s="12" t="n"/>
      <c r="X30" s="12" t="n"/>
      <c r="Y30" s="12" t="n"/>
      <c r="Z30" s="20">
        <f>IFERROR(N30/L30*1000,"")</f>
        <v/>
      </c>
      <c r="AA30" s="20">
        <f>IFERROR(M30/L30*1000,"")</f>
        <v/>
      </c>
      <c r="AB30" s="20" t="n"/>
    </row>
    <row r="31" ht="18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5" t="inlineStr"/>
      <c r="M31" s="15" t="inlineStr"/>
      <c r="N31" s="15" t="inlineStr"/>
      <c r="O31" s="15" t="inlineStr"/>
      <c r="P31" s="15" t="inlineStr"/>
      <c r="Q31" s="15" t="inlineStr"/>
      <c r="R31" s="12" t="inlineStr"/>
      <c r="S31" s="12" t="inlineStr"/>
      <c r="T31" s="12" t="inlineStr"/>
      <c r="U31" s="12" t="n"/>
      <c r="V31" s="12" t="n"/>
      <c r="W31" s="12" t="n"/>
      <c r="X31" s="12" t="n"/>
      <c r="Y31" s="12" t="n"/>
      <c r="Z31" s="20">
        <f>IFERROR(N31/L31*1000,"")</f>
        <v/>
      </c>
      <c r="AA31" s="20">
        <f>IFERROR(M31/L31*1000,"")</f>
        <v/>
      </c>
      <c r="AB31" s="20" t="n"/>
    </row>
    <row r="32" ht="18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5" t="inlineStr"/>
      <c r="M32" s="15" t="inlineStr"/>
      <c r="N32" s="15" t="inlineStr"/>
      <c r="O32" s="15" t="inlineStr"/>
      <c r="P32" s="15" t="inlineStr"/>
      <c r="Q32" s="15" t="inlineStr"/>
      <c r="R32" s="12" t="inlineStr"/>
      <c r="S32" s="12" t="inlineStr"/>
      <c r="T32" s="12" t="inlineStr"/>
      <c r="U32" s="12" t="n"/>
      <c r="V32" s="12" t="n"/>
      <c r="W32" s="12" t="n"/>
      <c r="X32" s="12" t="n"/>
      <c r="Y32" s="12" t="n"/>
      <c r="Z32" s="20">
        <f>IFERROR(N32/L32*1000,"")</f>
        <v/>
      </c>
      <c r="AA32" s="20">
        <f>IFERROR(M32/L32*1000,"")</f>
        <v/>
      </c>
      <c r="AB32" s="20" t="n"/>
    </row>
    <row r="33" ht="18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5" t="inlineStr"/>
      <c r="M33" s="15" t="inlineStr"/>
      <c r="N33" s="15" t="inlineStr"/>
      <c r="O33" s="15" t="inlineStr"/>
      <c r="P33" s="15" t="inlineStr"/>
      <c r="Q33" s="15" t="inlineStr"/>
      <c r="R33" s="12" t="inlineStr"/>
      <c r="S33" s="12" t="inlineStr"/>
      <c r="T33" s="12" t="inlineStr"/>
      <c r="U33" s="12" t="n"/>
      <c r="V33" s="12" t="n"/>
      <c r="W33" s="12" t="n"/>
      <c r="X33" s="12" t="n"/>
      <c r="Y33" s="12" t="n"/>
      <c r="Z33" s="20">
        <f>IFERROR(N33/L33*1000,"")</f>
        <v/>
      </c>
      <c r="AA33" s="20">
        <f>IFERROR(M33/L33*1000,"")</f>
        <v/>
      </c>
      <c r="AB33" s="20" t="n"/>
    </row>
    <row r="34" ht="18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5" t="inlineStr"/>
      <c r="M34" s="15" t="inlineStr"/>
      <c r="N34" s="15" t="inlineStr"/>
      <c r="O34" s="15" t="inlineStr"/>
      <c r="P34" s="15" t="inlineStr"/>
      <c r="Q34" s="15" t="inlineStr"/>
      <c r="R34" s="12" t="inlineStr"/>
      <c r="S34" s="12" t="inlineStr"/>
      <c r="T34" s="12" t="inlineStr"/>
      <c r="U34" s="12" t="n"/>
      <c r="V34" s="12" t="n"/>
      <c r="W34" s="12" t="n"/>
      <c r="X34" s="12" t="n"/>
      <c r="Y34" s="12" t="n"/>
      <c r="Z34" s="20">
        <f>IFERROR(N34/L34*1000,"")</f>
        <v/>
      </c>
      <c r="AA34" s="20">
        <f>IFERROR(M34/L34*1000,"")</f>
        <v/>
      </c>
      <c r="AB34" s="20" t="n"/>
    </row>
    <row r="35" ht="18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5" t="inlineStr"/>
      <c r="M35" s="15" t="inlineStr"/>
      <c r="N35" s="15" t="inlineStr"/>
      <c r="O35" s="15" t="inlineStr"/>
      <c r="P35" s="15" t="inlineStr"/>
      <c r="Q35" s="15" t="inlineStr"/>
      <c r="R35" s="12" t="inlineStr"/>
      <c r="S35" s="12" t="inlineStr"/>
      <c r="T35" s="12" t="inlineStr"/>
      <c r="U35" s="12" t="n"/>
      <c r="V35" s="12" t="n"/>
      <c r="W35" s="12" t="n"/>
      <c r="X35" s="12" t="n"/>
      <c r="Y35" s="12" t="n"/>
      <c r="Z35" s="20">
        <f>IFERROR(N35/L35*1000,"")</f>
        <v/>
      </c>
      <c r="AA35" s="20">
        <f>IFERROR(M35/L35*1000,"")</f>
        <v/>
      </c>
      <c r="AB35" s="20" t="n"/>
    </row>
    <row r="36" ht="18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5" t="inlineStr"/>
      <c r="M36" s="15" t="inlineStr"/>
      <c r="N36" s="15" t="inlineStr"/>
      <c r="O36" s="15" t="inlineStr"/>
      <c r="P36" s="15" t="inlineStr"/>
      <c r="Q36" s="15" t="inlineStr"/>
      <c r="R36" s="12" t="inlineStr"/>
      <c r="S36" s="12" t="inlineStr"/>
      <c r="T36" s="12" t="inlineStr"/>
      <c r="U36" s="12" t="n"/>
      <c r="V36" s="12" t="n"/>
      <c r="W36" s="12" t="n"/>
      <c r="X36" s="12" t="n"/>
      <c r="Y36" s="12" t="n"/>
      <c r="Z36" s="20">
        <f>IFERROR(N36/L36*1000,"")</f>
        <v/>
      </c>
      <c r="AA36" s="20">
        <f>IFERROR(M36/L36*1000,"")</f>
        <v/>
      </c>
      <c r="AB36" s="20" t="n"/>
    </row>
    <row r="37" ht="18" customHeight="1">
      <c r="A37" s="12" t="inlineStr"/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5" t="inlineStr"/>
      <c r="M37" s="15" t="inlineStr"/>
      <c r="N37" s="15" t="inlineStr"/>
      <c r="O37" s="15" t="inlineStr"/>
      <c r="P37" s="15" t="inlineStr"/>
      <c r="Q37" s="15" t="inlineStr"/>
      <c r="R37" s="12" t="inlineStr"/>
      <c r="S37" s="12" t="inlineStr"/>
      <c r="T37" s="12" t="inlineStr"/>
      <c r="U37" s="12" t="n"/>
      <c r="V37" s="12" t="n"/>
      <c r="W37" s="12" t="n"/>
      <c r="X37" s="12" t="n"/>
      <c r="Y37" s="12" t="n"/>
      <c r="Z37" s="20">
        <f>IFERROR(N37/L37*1000,"")</f>
        <v/>
      </c>
      <c r="AA37" s="20">
        <f>IFERROR(M37/L37*1000,"")</f>
        <v/>
      </c>
      <c r="AB37" s="20" t="n"/>
    </row>
    <row r="38" ht="18" customHeight="1">
      <c r="A38" s="12" t="inlineStr"/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5" t="inlineStr"/>
      <c r="M38" s="15" t="inlineStr"/>
      <c r="N38" s="15" t="inlineStr"/>
      <c r="O38" s="15" t="inlineStr"/>
      <c r="P38" s="15" t="inlineStr"/>
      <c r="Q38" s="15" t="inlineStr"/>
      <c r="R38" s="12" t="inlineStr"/>
      <c r="S38" s="12" t="inlineStr"/>
      <c r="T38" s="12" t="inlineStr"/>
      <c r="U38" s="12" t="n"/>
      <c r="V38" s="12" t="n"/>
      <c r="W38" s="12" t="n"/>
      <c r="X38" s="12" t="n"/>
      <c r="Y38" s="12" t="n"/>
      <c r="Z38" s="20">
        <f>IFERROR(N38/L38*1000,"")</f>
        <v/>
      </c>
      <c r="AA38" s="20">
        <f>IFERROR(M38/L38*1000,"")</f>
        <v/>
      </c>
      <c r="AB38" s="20" t="n"/>
    </row>
    <row r="39" ht="18" customHeight="1">
      <c r="A39" s="12" t="inlineStr"/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5" t="inlineStr"/>
      <c r="M39" s="15" t="inlineStr"/>
      <c r="N39" s="15" t="inlineStr"/>
      <c r="O39" s="15" t="inlineStr"/>
      <c r="P39" s="15" t="inlineStr"/>
      <c r="Q39" s="15" t="inlineStr"/>
      <c r="R39" s="12" t="inlineStr"/>
      <c r="S39" s="12" t="inlineStr"/>
      <c r="T39" s="12" t="inlineStr"/>
      <c r="U39" s="12" t="n"/>
      <c r="V39" s="12" t="n"/>
      <c r="W39" s="12" t="n"/>
      <c r="X39" s="12" t="n"/>
      <c r="Y39" s="12" t="n"/>
      <c r="Z39" s="20">
        <f>IFERROR(N39/L39*1000,"")</f>
        <v/>
      </c>
      <c r="AA39" s="20">
        <f>IFERROR(M39/L39*1000,"")</f>
        <v/>
      </c>
      <c r="AB39" s="20" t="n"/>
    </row>
    <row r="40" ht="18" customHeight="1">
      <c r="A40" s="12" t="inlineStr"/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5" t="inlineStr"/>
      <c r="M40" s="15" t="inlineStr"/>
      <c r="N40" s="15" t="inlineStr"/>
      <c r="O40" s="15" t="inlineStr"/>
      <c r="P40" s="15" t="inlineStr"/>
      <c r="Q40" s="15" t="inlineStr"/>
      <c r="R40" s="12" t="inlineStr"/>
      <c r="S40" s="12" t="inlineStr"/>
      <c r="T40" s="12" t="inlineStr"/>
      <c r="U40" s="12" t="n"/>
      <c r="V40" s="12" t="n"/>
      <c r="W40" s="12" t="n"/>
      <c r="X40" s="12" t="n"/>
      <c r="Y40" s="12" t="n"/>
      <c r="Z40" s="20">
        <f>IFERROR(N40/L40*1000,"")</f>
        <v/>
      </c>
      <c r="AA40" s="20">
        <f>IFERROR(M40/L40*1000,"")</f>
        <v/>
      </c>
      <c r="AB40" s="20" t="n"/>
    </row>
    <row r="41" ht="18" customHeight="1">
      <c r="A41" s="12" t="inlineStr"/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5" t="inlineStr"/>
      <c r="M41" s="15" t="inlineStr"/>
      <c r="N41" s="15" t="inlineStr"/>
      <c r="O41" s="15" t="inlineStr"/>
      <c r="P41" s="15" t="inlineStr"/>
      <c r="Q41" s="15" t="inlineStr"/>
      <c r="R41" s="12" t="inlineStr"/>
      <c r="S41" s="12" t="inlineStr"/>
      <c r="T41" s="12" t="inlineStr"/>
      <c r="U41" s="12" t="n"/>
      <c r="V41" s="12" t="n"/>
      <c r="W41" s="12" t="n"/>
      <c r="X41" s="12" t="n"/>
      <c r="Y41" s="12" t="n"/>
      <c r="Z41" s="20">
        <f>IFERROR(N41/L41*1000,"")</f>
        <v/>
      </c>
      <c r="AA41" s="20">
        <f>IFERROR(M41/L41*1000,"")</f>
        <v/>
      </c>
      <c r="AB41" s="20" t="n"/>
    </row>
    <row r="42" ht="18" customHeight="1">
      <c r="A42" s="12" t="inlineStr"/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5" t="inlineStr"/>
      <c r="M42" s="15" t="inlineStr"/>
      <c r="N42" s="15" t="inlineStr"/>
      <c r="O42" s="15" t="inlineStr"/>
      <c r="P42" s="15" t="inlineStr"/>
      <c r="Q42" s="15" t="inlineStr"/>
      <c r="R42" s="12" t="inlineStr"/>
      <c r="S42" s="12" t="inlineStr"/>
      <c r="T42" s="12" t="inlineStr"/>
      <c r="U42" s="12" t="n"/>
      <c r="V42" s="12" t="n"/>
      <c r="W42" s="12" t="n"/>
      <c r="X42" s="12" t="n"/>
      <c r="Y42" s="12" t="n"/>
      <c r="Z42" s="20">
        <f>IFERROR(N42/L42*1000,"")</f>
        <v/>
      </c>
      <c r="AA42" s="20">
        <f>IFERROR(M42/L42*1000,"")</f>
        <v/>
      </c>
      <c r="AB42" s="20" t="n"/>
    </row>
    <row r="43" ht="18" customHeight="1">
      <c r="A43" s="12" t="inlineStr"/>
      <c r="B43" s="12" t="inlineStr"/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5" t="inlineStr"/>
      <c r="M43" s="15" t="inlineStr"/>
      <c r="N43" s="15" t="inlineStr"/>
      <c r="O43" s="15" t="inlineStr"/>
      <c r="P43" s="15" t="inlineStr"/>
      <c r="Q43" s="15" t="inlineStr"/>
      <c r="R43" s="12" t="inlineStr"/>
      <c r="S43" s="12" t="inlineStr"/>
      <c r="T43" s="12" t="inlineStr"/>
      <c r="U43" s="12" t="n"/>
      <c r="V43" s="12" t="n"/>
      <c r="W43" s="12" t="n"/>
      <c r="X43" s="12" t="n"/>
      <c r="Y43" s="12" t="n"/>
      <c r="Z43" s="20">
        <f>IFERROR(N43/L43*1000,"")</f>
        <v/>
      </c>
      <c r="AA43" s="20">
        <f>IFERROR(M43/L43*1000,"")</f>
        <v/>
      </c>
      <c r="AB43" s="20" t="n"/>
    </row>
    <row r="44" ht="18" customHeight="1">
      <c r="A44" s="12" t="inlineStr"/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5" t="inlineStr"/>
      <c r="M44" s="15" t="inlineStr"/>
      <c r="N44" s="15" t="inlineStr"/>
      <c r="O44" s="15" t="inlineStr"/>
      <c r="P44" s="15" t="inlineStr"/>
      <c r="Q44" s="15" t="inlineStr"/>
      <c r="R44" s="12" t="inlineStr"/>
      <c r="S44" s="12" t="inlineStr"/>
      <c r="T44" s="12" t="inlineStr"/>
      <c r="U44" s="12" t="n"/>
      <c r="V44" s="12" t="n"/>
      <c r="W44" s="12" t="n"/>
      <c r="X44" s="12" t="n"/>
      <c r="Y44" s="12" t="n"/>
      <c r="Z44" s="20">
        <f>IFERROR(N44/L44*1000,"")</f>
        <v/>
      </c>
      <c r="AA44" s="20">
        <f>IFERROR(M44/L44*1000,"")</f>
        <v/>
      </c>
      <c r="AB44" s="20" t="n"/>
    </row>
    <row r="45" ht="18" customHeight="1">
      <c r="A45" s="12" t="inlineStr"/>
      <c r="B45" s="12" t="inlineStr"/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5" t="inlineStr"/>
      <c r="M45" s="15" t="inlineStr"/>
      <c r="N45" s="15" t="inlineStr"/>
      <c r="O45" s="15" t="inlineStr"/>
      <c r="P45" s="15" t="inlineStr"/>
      <c r="Q45" s="15" t="inlineStr"/>
      <c r="R45" s="12" t="inlineStr"/>
      <c r="S45" s="12" t="inlineStr"/>
      <c r="T45" s="12" t="inlineStr"/>
      <c r="U45" s="12" t="n"/>
      <c r="V45" s="12" t="n"/>
      <c r="W45" s="12" t="n"/>
      <c r="X45" s="12" t="n"/>
      <c r="Y45" s="12" t="n"/>
      <c r="Z45" s="20">
        <f>IFERROR(N45/L45*1000,"")</f>
        <v/>
      </c>
      <c r="AA45" s="20">
        <f>IFERROR(M45/L45*1000,"")</f>
        <v/>
      </c>
      <c r="AB45" s="20" t="n"/>
    </row>
    <row r="46" ht="18" customHeight="1">
      <c r="A46" s="12" t="inlineStr"/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5" t="inlineStr"/>
      <c r="M46" s="15" t="inlineStr"/>
      <c r="N46" s="15" t="inlineStr"/>
      <c r="O46" s="15" t="inlineStr"/>
      <c r="P46" s="15" t="inlineStr"/>
      <c r="Q46" s="15" t="inlineStr"/>
      <c r="R46" s="12" t="inlineStr"/>
      <c r="S46" s="12" t="inlineStr"/>
      <c r="T46" s="12" t="inlineStr"/>
      <c r="U46" s="12" t="n"/>
      <c r="V46" s="12" t="n"/>
      <c r="W46" s="12" t="n"/>
      <c r="X46" s="12" t="n"/>
      <c r="Y46" s="12" t="n"/>
      <c r="Z46" s="20">
        <f>IFERROR(N46/L46*1000,"")</f>
        <v/>
      </c>
      <c r="AA46" s="20">
        <f>IFERROR(M46/L46*1000,"")</f>
        <v/>
      </c>
      <c r="AB46" s="20" t="n"/>
    </row>
    <row r="47" ht="18" customHeight="1">
      <c r="A47" s="12" t="inlineStr"/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5" t="inlineStr"/>
      <c r="M47" s="15" t="inlineStr"/>
      <c r="N47" s="15" t="inlineStr"/>
      <c r="O47" s="15" t="inlineStr"/>
      <c r="P47" s="15" t="inlineStr"/>
      <c r="Q47" s="15" t="inlineStr"/>
      <c r="R47" s="12" t="inlineStr"/>
      <c r="S47" s="12" t="inlineStr"/>
      <c r="T47" s="12" t="inlineStr"/>
      <c r="U47" s="12" t="n"/>
      <c r="V47" s="12" t="n"/>
      <c r="W47" s="12" t="n"/>
      <c r="X47" s="12" t="n"/>
      <c r="Y47" s="12" t="n"/>
      <c r="Z47" s="20">
        <f>IFERROR(N47/L47*1000,"")</f>
        <v/>
      </c>
      <c r="AA47" s="20">
        <f>IFERROR(M47/L47*1000,"")</f>
        <v/>
      </c>
      <c r="AB47" s="20" t="n"/>
    </row>
    <row r="48" ht="18" customHeight="1">
      <c r="A48" s="12" t="inlineStr"/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5" t="inlineStr"/>
      <c r="M48" s="15" t="inlineStr"/>
      <c r="N48" s="15" t="inlineStr"/>
      <c r="O48" s="15" t="inlineStr"/>
      <c r="P48" s="15" t="inlineStr"/>
      <c r="Q48" s="15" t="inlineStr"/>
      <c r="R48" s="12" t="inlineStr"/>
      <c r="S48" s="12" t="inlineStr"/>
      <c r="T48" s="12" t="inlineStr"/>
      <c r="U48" s="12" t="n"/>
      <c r="V48" s="12" t="n"/>
      <c r="W48" s="12" t="n"/>
      <c r="X48" s="12" t="n"/>
      <c r="Y48" s="12" t="n"/>
      <c r="Z48" s="20">
        <f>IFERROR(N48/L48*1000,"")</f>
        <v/>
      </c>
      <c r="AA48" s="20">
        <f>IFERROR(M48/L48*1000,"")</f>
        <v/>
      </c>
      <c r="AB48" s="20" t="n"/>
    </row>
    <row r="49" ht="18" customHeight="1">
      <c r="A49" s="12" t="inlineStr"/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5" t="inlineStr"/>
      <c r="M49" s="15" t="inlineStr"/>
      <c r="N49" s="15" t="inlineStr"/>
      <c r="O49" s="15" t="inlineStr"/>
      <c r="P49" s="15" t="inlineStr"/>
      <c r="Q49" s="15" t="inlineStr"/>
      <c r="R49" s="12" t="inlineStr"/>
      <c r="S49" s="12" t="inlineStr"/>
      <c r="T49" s="12" t="inlineStr"/>
      <c r="U49" s="12" t="n"/>
      <c r="V49" s="12" t="n"/>
      <c r="W49" s="12" t="n"/>
      <c r="X49" s="12" t="n"/>
      <c r="Y49" s="12" t="n"/>
      <c r="Z49" s="20">
        <f>IFERROR(N49/L49*1000,"")</f>
        <v/>
      </c>
      <c r="AA49" s="20">
        <f>IFERROR(M49/L49*1000,"")</f>
        <v/>
      </c>
      <c r="AB49" s="20" t="n"/>
    </row>
    <row r="50" ht="18" customHeight="1">
      <c r="A50" s="12" t="inlineStr"/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5" t="inlineStr"/>
      <c r="M50" s="15" t="inlineStr"/>
      <c r="N50" s="15" t="inlineStr"/>
      <c r="O50" s="15" t="inlineStr"/>
      <c r="P50" s="15" t="inlineStr"/>
      <c r="Q50" s="15" t="inlineStr"/>
      <c r="R50" s="12" t="inlineStr"/>
      <c r="S50" s="12" t="inlineStr"/>
      <c r="T50" s="12" t="inlineStr"/>
      <c r="U50" s="12" t="n"/>
      <c r="V50" s="12" t="n"/>
      <c r="W50" s="12" t="n"/>
      <c r="X50" s="12" t="n"/>
      <c r="Y50" s="12" t="n"/>
      <c r="Z50" s="20">
        <f>IFERROR(N50/L50*1000,"")</f>
        <v/>
      </c>
      <c r="AA50" s="20">
        <f>IFERROR(M50/L50*1000,"")</f>
        <v/>
      </c>
      <c r="AB50" s="20" t="n"/>
    </row>
    <row r="51" ht="18" customHeight="1">
      <c r="A51" s="12" t="inlineStr"/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5" t="inlineStr"/>
      <c r="M51" s="15" t="inlineStr"/>
      <c r="N51" s="15" t="inlineStr"/>
      <c r="O51" s="15" t="inlineStr"/>
      <c r="P51" s="15" t="inlineStr"/>
      <c r="Q51" s="15" t="inlineStr"/>
      <c r="R51" s="12" t="inlineStr"/>
      <c r="S51" s="12" t="inlineStr"/>
      <c r="T51" s="12" t="inlineStr"/>
      <c r="U51" s="12" t="n"/>
      <c r="V51" s="12" t="n"/>
      <c r="W51" s="12" t="n"/>
      <c r="X51" s="12" t="n"/>
      <c r="Y51" s="12" t="n"/>
      <c r="Z51" s="20">
        <f>IFERROR(N51/L51*1000,"")</f>
        <v/>
      </c>
      <c r="AA51" s="20">
        <f>IFERROR(M51/L51*1000,"")</f>
        <v/>
      </c>
      <c r="AB51" s="20" t="n"/>
    </row>
    <row r="52" ht="18" customHeight="1">
      <c r="A52" s="12" t="inlineStr"/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5" t="inlineStr"/>
      <c r="M52" s="15" t="inlineStr"/>
      <c r="N52" s="15" t="inlineStr"/>
      <c r="O52" s="15" t="inlineStr"/>
      <c r="P52" s="15" t="inlineStr"/>
      <c r="Q52" s="15" t="inlineStr"/>
      <c r="R52" s="12" t="inlineStr"/>
      <c r="S52" s="12" t="inlineStr"/>
      <c r="T52" s="12" t="inlineStr"/>
      <c r="U52" s="12" t="n"/>
      <c r="V52" s="12" t="n"/>
      <c r="W52" s="12" t="n"/>
      <c r="X52" s="12" t="n"/>
      <c r="Y52" s="12" t="n"/>
      <c r="Z52" s="20">
        <f>IFERROR(N52/L52*1000,"")</f>
        <v/>
      </c>
      <c r="AA52" s="20">
        <f>IFERROR(M52/L52*1000,"")</f>
        <v/>
      </c>
      <c r="AB52" s="20" t="n"/>
    </row>
    <row r="53" ht="18" customHeight="1">
      <c r="A53" s="12" t="inlineStr"/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5" t="inlineStr"/>
      <c r="M53" s="15" t="inlineStr"/>
      <c r="N53" s="15" t="inlineStr"/>
      <c r="O53" s="15" t="inlineStr"/>
      <c r="P53" s="15" t="inlineStr"/>
      <c r="Q53" s="15" t="inlineStr"/>
      <c r="R53" s="12" t="inlineStr"/>
      <c r="S53" s="12" t="inlineStr"/>
      <c r="T53" s="12" t="inlineStr"/>
      <c r="U53" s="12" t="n"/>
      <c r="V53" s="12" t="n"/>
      <c r="W53" s="12" t="n"/>
      <c r="X53" s="12" t="n"/>
      <c r="Y53" s="12" t="n"/>
      <c r="Z53" s="20">
        <f>IFERROR(N53/L53*1000,"")</f>
        <v/>
      </c>
      <c r="AA53" s="20">
        <f>IFERROR(M53/L53*1000,"")</f>
        <v/>
      </c>
      <c r="AB53" s="20" t="n"/>
    </row>
    <row r="54" ht="18" customHeight="1">
      <c r="A54" s="12" t="inlineStr"/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5" t="inlineStr"/>
      <c r="M54" s="15" t="inlineStr"/>
      <c r="N54" s="15" t="inlineStr"/>
      <c r="O54" s="15" t="inlineStr"/>
      <c r="P54" s="15" t="inlineStr"/>
      <c r="Q54" s="15" t="inlineStr"/>
      <c r="R54" s="12" t="inlineStr"/>
      <c r="S54" s="12" t="inlineStr"/>
      <c r="T54" s="12" t="inlineStr"/>
      <c r="U54" s="12" t="n"/>
      <c r="V54" s="12" t="n"/>
      <c r="W54" s="12" t="n"/>
      <c r="X54" s="12" t="n"/>
      <c r="Y54" s="12" t="n"/>
      <c r="Z54" s="20">
        <f>IFERROR(N54/L54*1000,"")</f>
        <v/>
      </c>
      <c r="AA54" s="20">
        <f>IFERROR(M54/L54*1000,"")</f>
        <v/>
      </c>
      <c r="AB54" s="20" t="n"/>
    </row>
    <row r="55" ht="18" customHeight="1">
      <c r="A55" s="12" t="inlineStr"/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5" t="inlineStr"/>
      <c r="M55" s="15" t="inlineStr"/>
      <c r="N55" s="15" t="inlineStr"/>
      <c r="O55" s="15" t="inlineStr"/>
      <c r="P55" s="15" t="inlineStr"/>
      <c r="Q55" s="15" t="inlineStr"/>
      <c r="R55" s="12" t="inlineStr"/>
      <c r="S55" s="12" t="inlineStr"/>
      <c r="T55" s="12" t="inlineStr"/>
      <c r="U55" s="12" t="n"/>
      <c r="V55" s="12" t="n"/>
      <c r="W55" s="12" t="n"/>
      <c r="X55" s="12" t="n"/>
      <c r="Y55" s="12" t="n"/>
      <c r="Z55" s="20">
        <f>IFERROR(N55/L55*1000,"")</f>
        <v/>
      </c>
      <c r="AA55" s="20">
        <f>IFERROR(M55/L55*1000,"")</f>
        <v/>
      </c>
      <c r="AB55" s="20" t="n"/>
    </row>
    <row r="56" ht="18" customHeight="1">
      <c r="A56" s="12" t="inlineStr"/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5" t="inlineStr"/>
      <c r="M56" s="15" t="inlineStr"/>
      <c r="N56" s="15" t="inlineStr"/>
      <c r="O56" s="15" t="inlineStr"/>
      <c r="P56" s="15" t="inlineStr"/>
      <c r="Q56" s="15" t="inlineStr"/>
      <c r="R56" s="12" t="inlineStr"/>
      <c r="S56" s="12" t="inlineStr"/>
      <c r="T56" s="12" t="inlineStr"/>
      <c r="U56" s="12" t="n"/>
      <c r="V56" s="12" t="n"/>
      <c r="W56" s="12" t="n"/>
      <c r="X56" s="12" t="n"/>
      <c r="Y56" s="12" t="n"/>
      <c r="Z56" s="20">
        <f>IFERROR(N56/L56*1000,"")</f>
        <v/>
      </c>
      <c r="AA56" s="20">
        <f>IFERROR(M56/L56*1000,"")</f>
        <v/>
      </c>
      <c r="AB56" s="20" t="n"/>
    </row>
    <row r="57" ht="18" customHeight="1">
      <c r="A57" s="12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5" t="inlineStr"/>
      <c r="M57" s="15" t="inlineStr"/>
      <c r="N57" s="15" t="inlineStr"/>
      <c r="O57" s="15" t="inlineStr"/>
      <c r="P57" s="15" t="inlineStr"/>
      <c r="Q57" s="15" t="inlineStr"/>
      <c r="R57" s="12" t="inlineStr"/>
      <c r="S57" s="12" t="inlineStr"/>
      <c r="T57" s="12" t="inlineStr"/>
      <c r="U57" s="12" t="n"/>
      <c r="V57" s="12" t="n"/>
      <c r="W57" s="12" t="n"/>
      <c r="X57" s="12" t="n"/>
      <c r="Y57" s="12" t="n"/>
      <c r="Z57" s="20">
        <f>IFERROR(N57/L57*1000,"")</f>
        <v/>
      </c>
      <c r="AA57" s="20">
        <f>IFERROR(M57/L57*1000,"")</f>
        <v/>
      </c>
      <c r="AB57" s="20" t="n"/>
    </row>
    <row r="58" ht="18" customHeight="1">
      <c r="A58" s="12" t="inlineStr"/>
      <c r="B58" s="12" t="inlineStr"/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5" t="inlineStr"/>
      <c r="M58" s="15" t="inlineStr"/>
      <c r="N58" s="15" t="inlineStr"/>
      <c r="O58" s="15" t="inlineStr"/>
      <c r="P58" s="15" t="inlineStr"/>
      <c r="Q58" s="15" t="inlineStr"/>
      <c r="R58" s="12" t="inlineStr"/>
      <c r="S58" s="12" t="inlineStr"/>
      <c r="T58" s="12" t="inlineStr"/>
      <c r="U58" s="12" t="n"/>
      <c r="V58" s="12" t="n"/>
      <c r="W58" s="12" t="n"/>
      <c r="X58" s="12" t="n"/>
      <c r="Y58" s="12" t="n"/>
      <c r="Z58" s="20">
        <f>IFERROR(N58/L58*1000,"")</f>
        <v/>
      </c>
      <c r="AA58" s="20">
        <f>IFERROR(M58/L58*1000,"")</f>
        <v/>
      </c>
      <c r="AB58" s="20" t="n"/>
    </row>
    <row r="59" ht="18" customHeight="1">
      <c r="A59" s="12" t="inlineStr"/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5" t="inlineStr"/>
      <c r="M59" s="15" t="inlineStr"/>
      <c r="N59" s="15" t="inlineStr"/>
      <c r="O59" s="15" t="inlineStr"/>
      <c r="P59" s="15" t="inlineStr"/>
      <c r="Q59" s="15" t="inlineStr"/>
      <c r="R59" s="12" t="inlineStr"/>
      <c r="S59" s="12" t="inlineStr"/>
      <c r="T59" s="12" t="inlineStr"/>
      <c r="U59" s="12" t="n"/>
      <c r="V59" s="12" t="n"/>
      <c r="W59" s="12" t="n"/>
      <c r="X59" s="12" t="n"/>
      <c r="Y59" s="12" t="n"/>
      <c r="Z59" s="20">
        <f>IFERROR(N59/L59*1000,"")</f>
        <v/>
      </c>
      <c r="AA59" s="20">
        <f>IFERROR(M59/L59*1000,"")</f>
        <v/>
      </c>
      <c r="AB59" s="20" t="n"/>
    </row>
    <row r="60" ht="18" customHeight="1">
      <c r="A60" s="12" t="inlineStr"/>
      <c r="B60" s="12" t="inlineStr"/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5" t="inlineStr"/>
      <c r="M60" s="15" t="inlineStr"/>
      <c r="N60" s="15" t="inlineStr"/>
      <c r="O60" s="15" t="inlineStr"/>
      <c r="P60" s="15" t="inlineStr"/>
      <c r="Q60" s="15" t="inlineStr"/>
      <c r="R60" s="12" t="inlineStr"/>
      <c r="S60" s="12" t="inlineStr"/>
      <c r="T60" s="12" t="inlineStr"/>
      <c r="U60" s="12" t="n"/>
      <c r="V60" s="12" t="n"/>
      <c r="W60" s="12" t="n"/>
      <c r="X60" s="12" t="n"/>
      <c r="Y60" s="12" t="n"/>
      <c r="Z60" s="20">
        <f>IFERROR(N60/L60*1000,"")</f>
        <v/>
      </c>
      <c r="AA60" s="20">
        <f>IFERROR(M60/L60*1000,"")</f>
        <v/>
      </c>
      <c r="AB60" s="20" t="n"/>
    </row>
    <row r="61" ht="18" customHeight="1">
      <c r="A61" s="12" t="inlineStr"/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5" t="inlineStr"/>
      <c r="M61" s="15" t="inlineStr"/>
      <c r="N61" s="15" t="inlineStr"/>
      <c r="O61" s="15" t="inlineStr"/>
      <c r="P61" s="15" t="inlineStr"/>
      <c r="Q61" s="15" t="inlineStr"/>
      <c r="R61" s="12" t="inlineStr"/>
      <c r="S61" s="12" t="inlineStr"/>
      <c r="T61" s="12" t="inlineStr"/>
      <c r="U61" s="12" t="n"/>
      <c r="V61" s="12" t="n"/>
      <c r="W61" s="12" t="n"/>
      <c r="X61" s="12" t="n"/>
      <c r="Y61" s="12" t="n"/>
      <c r="Z61" s="20">
        <f>IFERROR(N61/L61*1000,"")</f>
        <v/>
      </c>
      <c r="AA61" s="20">
        <f>IFERROR(M61/L61*1000,"")</f>
        <v/>
      </c>
      <c r="AB61" s="20" t="n"/>
    </row>
    <row r="62" ht="18" customHeight="1">
      <c r="A62" s="12" t="inlineStr"/>
      <c r="B62" s="12" t="inlineStr"/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5" t="inlineStr"/>
      <c r="M62" s="15" t="inlineStr"/>
      <c r="N62" s="15" t="inlineStr"/>
      <c r="O62" s="15" t="inlineStr"/>
      <c r="P62" s="15" t="inlineStr"/>
      <c r="Q62" s="15" t="inlineStr"/>
      <c r="R62" s="12" t="inlineStr"/>
      <c r="S62" s="12" t="inlineStr"/>
      <c r="T62" s="12" t="inlineStr"/>
      <c r="U62" s="12" t="n"/>
      <c r="V62" s="12" t="n"/>
      <c r="W62" s="12" t="n"/>
      <c r="X62" s="12" t="n"/>
      <c r="Y62" s="12" t="n"/>
      <c r="Z62" s="20">
        <f>IFERROR(N62/L62*1000,"")</f>
        <v/>
      </c>
      <c r="AA62" s="20">
        <f>IFERROR(M62/L62*1000,"")</f>
        <v/>
      </c>
      <c r="AB62" s="20" t="n"/>
    </row>
    <row r="63" ht="18" customHeight="1">
      <c r="A63" s="12" t="inlineStr"/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5" t="inlineStr"/>
      <c r="M63" s="15" t="inlineStr"/>
      <c r="N63" s="15" t="inlineStr"/>
      <c r="O63" s="15" t="inlineStr"/>
      <c r="P63" s="15" t="inlineStr"/>
      <c r="Q63" s="15" t="inlineStr"/>
      <c r="R63" s="12" t="inlineStr"/>
      <c r="S63" s="12" t="inlineStr"/>
      <c r="T63" s="12" t="inlineStr"/>
      <c r="U63" s="12" t="n"/>
      <c r="V63" s="12" t="n"/>
      <c r="W63" s="12" t="n"/>
      <c r="X63" s="12" t="n"/>
      <c r="Y63" s="12" t="n"/>
      <c r="Z63" s="20">
        <f>IFERROR(N63/L63*1000,"")</f>
        <v/>
      </c>
      <c r="AA63" s="20">
        <f>IFERROR(M63/L63*1000,"")</f>
        <v/>
      </c>
      <c r="AB63" s="20" t="n"/>
    </row>
    <row r="64" ht="18" customHeight="1">
      <c r="A64" s="12" t="inlineStr"/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5" t="inlineStr"/>
      <c r="M64" s="15" t="inlineStr"/>
      <c r="N64" s="15" t="inlineStr"/>
      <c r="O64" s="15" t="inlineStr"/>
      <c r="P64" s="15" t="inlineStr"/>
      <c r="Q64" s="15" t="inlineStr"/>
      <c r="R64" s="12" t="inlineStr"/>
      <c r="S64" s="12" t="inlineStr"/>
      <c r="T64" s="12" t="inlineStr"/>
      <c r="U64" s="12" t="n"/>
      <c r="V64" s="12" t="n"/>
      <c r="W64" s="12" t="n"/>
      <c r="X64" s="12" t="n"/>
      <c r="Y64" s="12" t="n"/>
      <c r="Z64" s="20">
        <f>IFERROR(N64/L64*1000,"")</f>
        <v/>
      </c>
      <c r="AA64" s="20">
        <f>IFERROR(M64/L64*1000,"")</f>
        <v/>
      </c>
      <c r="AB64" s="20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5" t="n"/>
      <c r="M65" s="15" t="n"/>
      <c r="N65" s="15" t="n"/>
      <c r="O65" s="15" t="n"/>
      <c r="P65" s="15" t="n"/>
      <c r="Q65" s="15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20">
        <f>IFERROR(N65/L65*1000,"")</f>
        <v/>
      </c>
      <c r="AA65" s="20">
        <f>IFERROR(M65/L65*1000,"")</f>
        <v/>
      </c>
      <c r="AB65" s="20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5" t="n"/>
      <c r="M66" s="15" t="n"/>
      <c r="N66" s="15" t="n"/>
      <c r="O66" s="15" t="n"/>
      <c r="P66" s="15" t="n"/>
      <c r="Q66" s="15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20">
        <f>IFERROR(N66/L66*1000,"")</f>
        <v/>
      </c>
      <c r="AA66" s="20">
        <f>IFERROR(M66/L66*1000,"")</f>
        <v/>
      </c>
      <c r="AB66" s="20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5" t="n"/>
      <c r="M67" s="15" t="n"/>
      <c r="N67" s="15" t="n"/>
      <c r="O67" s="15" t="n"/>
      <c r="P67" s="15" t="n"/>
      <c r="Q67" s="15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20">
        <f>IFERROR(N67/L67*1000,"")</f>
        <v/>
      </c>
      <c r="AA67" s="20">
        <f>IFERROR(M67/L67*1000,"")</f>
        <v/>
      </c>
      <c r="AB67" s="20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5" t="n"/>
      <c r="M68" s="15" t="n"/>
      <c r="N68" s="15" t="n"/>
      <c r="O68" s="15" t="n"/>
      <c r="P68" s="15" t="n"/>
      <c r="Q68" s="15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20">
        <f>IFERROR(N68/L68*1000,"")</f>
        <v/>
      </c>
      <c r="AA68" s="20">
        <f>IFERROR(M68/L68*1000,"")</f>
        <v/>
      </c>
      <c r="AB68" s="20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5" t="n"/>
      <c r="M69" s="15" t="n"/>
      <c r="N69" s="15" t="n"/>
      <c r="O69" s="15" t="n"/>
      <c r="P69" s="15" t="n"/>
      <c r="Q69" s="15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20">
        <f>IFERROR(N69/L69*1000,"")</f>
        <v/>
      </c>
      <c r="AA69" s="20">
        <f>IFERROR(M69/L69*1000,"")</f>
        <v/>
      </c>
      <c r="AB69" s="20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5" t="n"/>
      <c r="M70" s="15" t="n"/>
      <c r="N70" s="15" t="n"/>
      <c r="O70" s="15" t="n"/>
      <c r="P70" s="15" t="n"/>
      <c r="Q70" s="15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20">
        <f>IFERROR(N70/L70*1000,"")</f>
        <v/>
      </c>
      <c r="AA70" s="20">
        <f>IFERROR(M70/L70*1000,"")</f>
        <v/>
      </c>
      <c r="AB70" s="20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5" t="n"/>
      <c r="M71" s="15" t="n"/>
      <c r="N71" s="15" t="n"/>
      <c r="O71" s="15" t="n"/>
      <c r="P71" s="15" t="n"/>
      <c r="Q71" s="15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20">
        <f>IFERROR(N71/L71*1000,"")</f>
        <v/>
      </c>
      <c r="AA71" s="20">
        <f>IFERROR(M71/L71*1000,"")</f>
        <v/>
      </c>
      <c r="AB71" s="20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5" t="n"/>
      <c r="M72" s="15" t="n"/>
      <c r="N72" s="15" t="n"/>
      <c r="O72" s="15" t="n"/>
      <c r="P72" s="15" t="n"/>
      <c r="Q72" s="15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20">
        <f>IFERROR(N72/L72*1000,"")</f>
        <v/>
      </c>
      <c r="AA72" s="20">
        <f>IFERROR(M72/L72*1000,"")</f>
        <v/>
      </c>
      <c r="AB72" s="20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5" t="n"/>
      <c r="M73" s="15" t="n"/>
      <c r="N73" s="15" t="n"/>
      <c r="O73" s="15" t="n"/>
      <c r="P73" s="15" t="n"/>
      <c r="Q73" s="15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20">
        <f>IFERROR(N73/L73*1000,"")</f>
        <v/>
      </c>
      <c r="AA73" s="20">
        <f>IFERROR(M73/L73*1000,"")</f>
        <v/>
      </c>
      <c r="AB73" s="20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5" t="n"/>
      <c r="M74" s="15" t="n"/>
      <c r="N74" s="15" t="n"/>
      <c r="O74" s="15" t="n"/>
      <c r="P74" s="15" t="n"/>
      <c r="Q74" s="15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20">
        <f>IFERROR(N74/L74*1000,"")</f>
        <v/>
      </c>
      <c r="AA74" s="20">
        <f>IFERROR(M74/L74*1000,"")</f>
        <v/>
      </c>
      <c r="AB74" s="20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5" t="n"/>
      <c r="M75" s="15" t="n"/>
      <c r="N75" s="15" t="n"/>
      <c r="O75" s="15" t="n"/>
      <c r="P75" s="15" t="n"/>
      <c r="Q75" s="15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20">
        <f>IFERROR(N75/L75*1000,"")</f>
        <v/>
      </c>
      <c r="AA75" s="20">
        <f>IFERROR(M75/L75*1000,"")</f>
        <v/>
      </c>
      <c r="AB75" s="20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5" t="n"/>
      <c r="M76" s="15" t="n"/>
      <c r="N76" s="15" t="n"/>
      <c r="O76" s="15" t="n"/>
      <c r="P76" s="15" t="n"/>
      <c r="Q76" s="15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20">
        <f>IFERROR(N76/L76*1000,"")</f>
        <v/>
      </c>
      <c r="AA76" s="20">
        <f>IFERROR(M76/L76*1000,"")</f>
        <v/>
      </c>
      <c r="AB76" s="20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5" t="n"/>
      <c r="M77" s="15" t="n"/>
      <c r="N77" s="15" t="n"/>
      <c r="O77" s="15" t="n"/>
      <c r="P77" s="15" t="n"/>
      <c r="Q77" s="15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20">
        <f>IFERROR(N77/L77*1000,"")</f>
        <v/>
      </c>
      <c r="AA77" s="20">
        <f>IFERROR(M77/L77*1000,"")</f>
        <v/>
      </c>
      <c r="AB77" s="20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5" t="n"/>
      <c r="M78" s="15" t="n"/>
      <c r="N78" s="15" t="n"/>
      <c r="O78" s="15" t="n"/>
      <c r="P78" s="15" t="n"/>
      <c r="Q78" s="15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20">
        <f>IFERROR(N78/L78*1000,"")</f>
        <v/>
      </c>
      <c r="AA78" s="20">
        <f>IFERROR(M78/L78*1000,"")</f>
        <v/>
      </c>
      <c r="AB78" s="20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5" t="n"/>
      <c r="M79" s="15" t="n"/>
      <c r="N79" s="15" t="n"/>
      <c r="O79" s="15" t="n"/>
      <c r="P79" s="15" t="n"/>
      <c r="Q79" s="15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20">
        <f>IFERROR(N79/L79*1000,"")</f>
        <v/>
      </c>
      <c r="AA79" s="20">
        <f>IFERROR(M79/L79*1000,"")</f>
        <v/>
      </c>
      <c r="AB79" s="20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5" t="n"/>
      <c r="M80" s="15" t="n"/>
      <c r="N80" s="15" t="n"/>
      <c r="O80" s="15" t="n"/>
      <c r="P80" s="15" t="n"/>
      <c r="Q80" s="15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20">
        <f>IFERROR(N80/L80*1000,"")</f>
        <v/>
      </c>
      <c r="AA80" s="20">
        <f>IFERROR(M80/L80*1000,"")</f>
        <v/>
      </c>
      <c r="AB80" s="20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5" t="n"/>
      <c r="M81" s="15" t="n"/>
      <c r="N81" s="15" t="n"/>
      <c r="O81" s="15" t="n"/>
      <c r="P81" s="15" t="n"/>
      <c r="Q81" s="15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20">
        <f>IFERROR(N81/L81*1000,"")</f>
        <v/>
      </c>
      <c r="AA81" s="20">
        <f>IFERROR(M81/L81*1000,"")</f>
        <v/>
      </c>
      <c r="AB81" s="20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5" t="n"/>
      <c r="M82" s="15" t="n"/>
      <c r="N82" s="15" t="n"/>
      <c r="O82" s="15" t="n"/>
      <c r="P82" s="15" t="n"/>
      <c r="Q82" s="15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20">
        <f>IFERROR(N82/L82*1000,"")</f>
        <v/>
      </c>
      <c r="AA82" s="20">
        <f>IFERROR(M82/L82*1000,"")</f>
        <v/>
      </c>
      <c r="AB82" s="20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5" t="n"/>
      <c r="M83" s="15" t="n"/>
      <c r="N83" s="15" t="n"/>
      <c r="O83" s="15" t="n"/>
      <c r="P83" s="15" t="n"/>
      <c r="Q83" s="15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20">
        <f>IFERROR(N83/L83*1000,"")</f>
        <v/>
      </c>
      <c r="AA83" s="20">
        <f>IFERROR(M83/L83*1000,"")</f>
        <v/>
      </c>
      <c r="AB83" s="20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5" t="n"/>
      <c r="M84" s="15" t="n"/>
      <c r="N84" s="15" t="n"/>
      <c r="O84" s="15" t="n"/>
      <c r="P84" s="15" t="n"/>
      <c r="Q84" s="15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20">
        <f>IFERROR(N84/L84*1000,"")</f>
        <v/>
      </c>
      <c r="AA84" s="20">
        <f>IFERROR(M84/L84*1000,"")</f>
        <v/>
      </c>
      <c r="AB84" s="20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5" t="n"/>
      <c r="M85" s="15" t="n"/>
      <c r="N85" s="15" t="n"/>
      <c r="O85" s="15" t="n"/>
      <c r="P85" s="15" t="n"/>
      <c r="Q85" s="15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20">
        <f>IFERROR(N85/L85*1000,"")</f>
        <v/>
      </c>
      <c r="AA85" s="20">
        <f>IFERROR(M85/L85*1000,"")</f>
        <v/>
      </c>
      <c r="AB85" s="20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5" t="n"/>
      <c r="M86" s="15" t="n"/>
      <c r="N86" s="15" t="n"/>
      <c r="O86" s="15" t="n"/>
      <c r="P86" s="15" t="n"/>
      <c r="Q86" s="15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20">
        <f>IFERROR(N86/L86*1000,"")</f>
        <v/>
      </c>
      <c r="AA86" s="20">
        <f>IFERROR(M86/L86*1000,"")</f>
        <v/>
      </c>
      <c r="AB86" s="20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5" t="n"/>
      <c r="M87" s="15" t="n"/>
      <c r="N87" s="15" t="n"/>
      <c r="O87" s="15" t="n"/>
      <c r="P87" s="15" t="n"/>
      <c r="Q87" s="15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20">
        <f>IFERROR(N87/L87*1000,"")</f>
        <v/>
      </c>
      <c r="AA87" s="20">
        <f>IFERROR(M87/L87*1000,"")</f>
        <v/>
      </c>
      <c r="AB87" s="20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5" t="n"/>
      <c r="M88" s="15" t="n"/>
      <c r="N88" s="15" t="n"/>
      <c r="O88" s="15" t="n"/>
      <c r="P88" s="15" t="n"/>
      <c r="Q88" s="15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20">
        <f>IFERROR(N88/L88*1000,"")</f>
        <v/>
      </c>
      <c r="AA88" s="20">
        <f>IFERROR(M88/L88*1000,"")</f>
        <v/>
      </c>
      <c r="AB88" s="20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5" t="n"/>
      <c r="M89" s="15" t="n"/>
      <c r="N89" s="15" t="n"/>
      <c r="O89" s="15" t="n"/>
      <c r="P89" s="15" t="n"/>
      <c r="Q89" s="15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20">
        <f>IFERROR(N89/L89*1000,"")</f>
        <v/>
      </c>
      <c r="AA89" s="20">
        <f>IFERROR(M89/L89*1000,"")</f>
        <v/>
      </c>
      <c r="AB89" s="20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5" t="n"/>
      <c r="M90" s="15" t="n"/>
      <c r="N90" s="15" t="n"/>
      <c r="O90" s="15" t="n"/>
      <c r="P90" s="15" t="n"/>
      <c r="Q90" s="15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20">
        <f>IFERROR(N90/L90*1000,"")</f>
        <v/>
      </c>
      <c r="AA90" s="20">
        <f>IFERROR(M90/L90*1000,"")</f>
        <v/>
      </c>
      <c r="AB90" s="20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5" t="n"/>
      <c r="M91" s="15" t="n"/>
      <c r="N91" s="15" t="n"/>
      <c r="O91" s="15" t="n"/>
      <c r="P91" s="15" t="n"/>
      <c r="Q91" s="15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20">
        <f>IFERROR(N91/L91*1000,"")</f>
        <v/>
      </c>
      <c r="AA91" s="20">
        <f>IFERROR(M91/L91*1000,"")</f>
        <v/>
      </c>
      <c r="AB91" s="20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5" t="n"/>
      <c r="M92" s="15" t="n"/>
      <c r="N92" s="15" t="n"/>
      <c r="O92" s="15" t="n"/>
      <c r="P92" s="15" t="n"/>
      <c r="Q92" s="15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20">
        <f>IFERROR(N92/L92*1000,"")</f>
        <v/>
      </c>
      <c r="AA92" s="20">
        <f>IFERROR(M92/L92*1000,"")</f>
        <v/>
      </c>
      <c r="AB92" s="20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5" t="n"/>
      <c r="M93" s="15" t="n"/>
      <c r="N93" s="15" t="n"/>
      <c r="O93" s="15" t="n"/>
      <c r="P93" s="15" t="n"/>
      <c r="Q93" s="15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20">
        <f>IFERROR(N93/L93*1000,"")</f>
        <v/>
      </c>
      <c r="AA93" s="20">
        <f>IFERROR(M93/L93*1000,"")</f>
        <v/>
      </c>
      <c r="AB93" s="20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5" t="n"/>
      <c r="M94" s="15" t="n"/>
      <c r="N94" s="15" t="n"/>
      <c r="O94" s="15" t="n"/>
      <c r="P94" s="15" t="n"/>
      <c r="Q94" s="15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20">
        <f>IFERROR(N94/L94*1000,"")</f>
        <v/>
      </c>
      <c r="AA94" s="20">
        <f>IFERROR(M94/L94*1000,"")</f>
        <v/>
      </c>
      <c r="AB94" s="20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5" t="n"/>
      <c r="M95" s="15" t="n"/>
      <c r="N95" s="15" t="n"/>
      <c r="O95" s="15" t="n"/>
      <c r="P95" s="15" t="n"/>
      <c r="Q95" s="15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20">
        <f>IFERROR(N95/L95*1000,"")</f>
        <v/>
      </c>
      <c r="AA95" s="20">
        <f>IFERROR(M95/L95*1000,"")</f>
        <v/>
      </c>
      <c r="AB95" s="20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5" t="n"/>
      <c r="M96" s="15" t="n"/>
      <c r="N96" s="15" t="n"/>
      <c r="O96" s="15" t="n"/>
      <c r="P96" s="15" t="n"/>
      <c r="Q96" s="15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20">
        <f>IFERROR(N96/L96*1000,"")</f>
        <v/>
      </c>
      <c r="AA96" s="20">
        <f>IFERROR(M96/L96*1000,"")</f>
        <v/>
      </c>
      <c r="AB96" s="20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5" t="n"/>
      <c r="M97" s="15" t="n"/>
      <c r="N97" s="15" t="n"/>
      <c r="O97" s="15" t="n"/>
      <c r="P97" s="15" t="n"/>
      <c r="Q97" s="15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20">
        <f>IFERROR(N97/L97*1000,"")</f>
        <v/>
      </c>
      <c r="AA97" s="20">
        <f>IFERROR(M97/L97*1000,"")</f>
        <v/>
      </c>
      <c r="AB97" s="20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5" t="n"/>
      <c r="M98" s="15" t="n"/>
      <c r="N98" s="15" t="n"/>
      <c r="O98" s="15" t="n"/>
      <c r="P98" s="15" t="n"/>
      <c r="Q98" s="15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20">
        <f>IFERROR(N98/L98*1000,"")</f>
        <v/>
      </c>
      <c r="AA98" s="20">
        <f>IFERROR(M98/L98*1000,"")</f>
        <v/>
      </c>
      <c r="AB98" s="20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5" t="n"/>
      <c r="M99" s="15" t="n"/>
      <c r="N99" s="15" t="n"/>
      <c r="O99" s="15" t="n"/>
      <c r="P99" s="15" t="n"/>
      <c r="Q99" s="15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20">
        <f>IFERROR(N99/L99*1000,"")</f>
        <v/>
      </c>
      <c r="AA99" s="20">
        <f>IFERROR(M99/L99*1000,"")</f>
        <v/>
      </c>
      <c r="AB99" s="20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5" t="n"/>
      <c r="M100" s="15" t="n"/>
      <c r="N100" s="15" t="n"/>
      <c r="O100" s="15" t="n"/>
      <c r="P100" s="15" t="n"/>
      <c r="Q100" s="15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20">
        <f>IFERROR(N100/L100*1000,"")</f>
        <v/>
      </c>
      <c r="AA100" s="20">
        <f>IFERROR(M100/L100*1000,"")</f>
        <v/>
      </c>
      <c r="AB100" s="20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5" t="n"/>
      <c r="M101" s="15" t="n"/>
      <c r="N101" s="15" t="n"/>
      <c r="O101" s="15" t="n"/>
      <c r="P101" s="15" t="n"/>
      <c r="Q101" s="15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20">
        <f>IFERROR(N101/L101*1000,"")</f>
        <v/>
      </c>
      <c r="AA101" s="20">
        <f>IFERROR(M101/L101*1000,"")</f>
        <v/>
      </c>
      <c r="AB101" s="20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5" t="n"/>
      <c r="M102" s="15" t="n"/>
      <c r="N102" s="15" t="n"/>
      <c r="O102" s="15" t="n"/>
      <c r="P102" s="15" t="n"/>
      <c r="Q102" s="15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20">
        <f>IFERROR(N102/L102*1000,"")</f>
        <v/>
      </c>
      <c r="AA102" s="20">
        <f>IFERROR(M102/L102*1000,"")</f>
        <v/>
      </c>
      <c r="AB102" s="20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5" t="n"/>
      <c r="M103" s="15" t="n"/>
      <c r="N103" s="15" t="n"/>
      <c r="O103" s="15" t="n"/>
      <c r="P103" s="15" t="n"/>
      <c r="Q103" s="15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20">
        <f>IFERROR(N103/L103*1000,"")</f>
        <v/>
      </c>
      <c r="AA103" s="20">
        <f>IFERROR(M103/L103*1000,"")</f>
        <v/>
      </c>
      <c r="AB103" s="20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5" t="n"/>
      <c r="M104" s="15" t="n"/>
      <c r="N104" s="15" t="n"/>
      <c r="O104" s="15" t="n"/>
      <c r="P104" s="15" t="n"/>
      <c r="Q104" s="15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20">
        <f>IFERROR(N104/L104*1000,"")</f>
        <v/>
      </c>
      <c r="AA104" s="20">
        <f>IFERROR(M104/L104*1000,"")</f>
        <v/>
      </c>
      <c r="AB104" s="20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5" t="n"/>
      <c r="M105" s="15" t="n"/>
      <c r="N105" s="15" t="n"/>
      <c r="O105" s="15" t="n"/>
      <c r="P105" s="15" t="n"/>
      <c r="Q105" s="15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20">
        <f>IFERROR(N105/L105*1000,"")</f>
        <v/>
      </c>
      <c r="AA105" s="20">
        <f>IFERROR(M105/L105*1000,"")</f>
        <v/>
      </c>
      <c r="AB105" s="20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5" t="n"/>
      <c r="M106" s="15" t="n"/>
      <c r="N106" s="15" t="n"/>
      <c r="O106" s="15" t="n"/>
      <c r="P106" s="15" t="n"/>
      <c r="Q106" s="15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20">
        <f>IFERROR(N106/L106*1000,"")</f>
        <v/>
      </c>
      <c r="AA106" s="20">
        <f>IFERROR(M106/L106*1000,"")</f>
        <v/>
      </c>
      <c r="AB106" s="20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5" t="n"/>
      <c r="M107" s="15" t="n"/>
      <c r="N107" s="15" t="n"/>
      <c r="O107" s="15" t="n"/>
      <c r="P107" s="15" t="n"/>
      <c r="Q107" s="15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20">
        <f>IFERROR(N107/L107*1000,"")</f>
        <v/>
      </c>
      <c r="AA107" s="20">
        <f>IFERROR(M107/L107*1000,"")</f>
        <v/>
      </c>
      <c r="AB107" s="20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5" t="n"/>
      <c r="M108" s="15" t="n"/>
      <c r="N108" s="15" t="n"/>
      <c r="O108" s="15" t="n"/>
      <c r="P108" s="15" t="n"/>
      <c r="Q108" s="15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20">
        <f>IFERROR(N108/L108*1000,"")</f>
        <v/>
      </c>
      <c r="AA108" s="20">
        <f>IFERROR(M108/L108*1000,"")</f>
        <v/>
      </c>
      <c r="AB108" s="20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5" t="n"/>
      <c r="M109" s="15" t="n"/>
      <c r="N109" s="15" t="n"/>
      <c r="O109" s="15" t="n"/>
      <c r="P109" s="15" t="n"/>
      <c r="Q109" s="15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20">
        <f>IFERROR(N109/L109*1000,"")</f>
        <v/>
      </c>
      <c r="AA109" s="20">
        <f>IFERROR(M109/L109*1000,"")</f>
        <v/>
      </c>
      <c r="AB109" s="20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5" t="n"/>
      <c r="M110" s="15" t="n"/>
      <c r="N110" s="15" t="n"/>
      <c r="O110" s="15" t="n"/>
      <c r="P110" s="15" t="n"/>
      <c r="Q110" s="15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20">
        <f>IFERROR(N110/L110*1000,"")</f>
        <v/>
      </c>
      <c r="AA110" s="20">
        <f>IFERROR(M110/L110*1000,"")</f>
        <v/>
      </c>
      <c r="AB110" s="20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5" t="n"/>
      <c r="M111" s="15" t="n"/>
      <c r="N111" s="15" t="n"/>
      <c r="O111" s="15" t="n"/>
      <c r="P111" s="15" t="n"/>
      <c r="Q111" s="15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20">
        <f>IFERROR(N111/L111*1000,"")</f>
        <v/>
      </c>
      <c r="AA111" s="20">
        <f>IFERROR(M111/L111*1000,"")</f>
        <v/>
      </c>
      <c r="AB111" s="20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5" t="n"/>
      <c r="M112" s="15" t="n"/>
      <c r="N112" s="15" t="n"/>
      <c r="O112" s="15" t="n"/>
      <c r="P112" s="15" t="n"/>
      <c r="Q112" s="15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20">
        <f>IFERROR(N112/L112*1000,"")</f>
        <v/>
      </c>
      <c r="AA112" s="20">
        <f>IFERROR(M112/L112*1000,"")</f>
        <v/>
      </c>
      <c r="AB112" s="20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5" t="n"/>
      <c r="M113" s="15" t="n"/>
      <c r="N113" s="15" t="n"/>
      <c r="O113" s="15" t="n"/>
      <c r="P113" s="15" t="n"/>
      <c r="Q113" s="15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20">
        <f>IFERROR(N113/L113*1000,"")</f>
        <v/>
      </c>
      <c r="AA113" s="20">
        <f>IFERROR(M113/L113*1000,"")</f>
        <v/>
      </c>
      <c r="AB113" s="20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5" t="n"/>
      <c r="M114" s="15" t="n"/>
      <c r="N114" s="15" t="n"/>
      <c r="O114" s="15" t="n"/>
      <c r="P114" s="15" t="n"/>
      <c r="Q114" s="15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20">
        <f>IFERROR(N114/L114*1000,"")</f>
        <v/>
      </c>
      <c r="AA114" s="20">
        <f>IFERROR(M114/L114*1000,"")</f>
        <v/>
      </c>
      <c r="AB114" s="20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5" t="n"/>
      <c r="M115" s="15" t="n"/>
      <c r="N115" s="15" t="n"/>
      <c r="O115" s="15" t="n"/>
      <c r="P115" s="15" t="n"/>
      <c r="Q115" s="15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20">
        <f>IFERROR(N115/L115*1000,"")</f>
        <v/>
      </c>
      <c r="AA115" s="20">
        <f>IFERROR(M115/L115*1000,"")</f>
        <v/>
      </c>
      <c r="AB115" s="20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5" t="n"/>
      <c r="M116" s="15" t="n"/>
      <c r="N116" s="15" t="n"/>
      <c r="O116" s="15" t="n"/>
      <c r="P116" s="15" t="n"/>
      <c r="Q116" s="15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20">
        <f>IFERROR(N116/L116*1000,"")</f>
        <v/>
      </c>
      <c r="AA116" s="20">
        <f>IFERROR(M116/L116*1000,"")</f>
        <v/>
      </c>
      <c r="AB116" s="20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5" t="n"/>
      <c r="M117" s="15" t="n"/>
      <c r="N117" s="15" t="n"/>
      <c r="O117" s="15" t="n"/>
      <c r="P117" s="15" t="n"/>
      <c r="Q117" s="15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20">
        <f>IFERROR(N117/L117*1000,"")</f>
        <v/>
      </c>
      <c r="AA117" s="20">
        <f>IFERROR(M117/L117*1000,"")</f>
        <v/>
      </c>
      <c r="AB117" s="20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5" t="n"/>
      <c r="M118" s="15" t="n"/>
      <c r="N118" s="15" t="n"/>
      <c r="O118" s="15" t="n"/>
      <c r="P118" s="15" t="n"/>
      <c r="Q118" s="15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20">
        <f>IFERROR(N118/L118*1000,"")</f>
        <v/>
      </c>
      <c r="AA118" s="20">
        <f>IFERROR(M118/L118*1000,"")</f>
        <v/>
      </c>
      <c r="AB118" s="20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5" t="n"/>
      <c r="M119" s="15" t="n"/>
      <c r="N119" s="15" t="n"/>
      <c r="O119" s="15" t="n"/>
      <c r="P119" s="15" t="n"/>
      <c r="Q119" s="15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20">
        <f>IFERROR(N119/L119*1000,"")</f>
        <v/>
      </c>
      <c r="AA119" s="20">
        <f>IFERROR(M119/L119*1000,"")</f>
        <v/>
      </c>
      <c r="AB119" s="20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5" t="n"/>
      <c r="M120" s="15" t="n"/>
      <c r="N120" s="15" t="n"/>
      <c r="O120" s="15" t="n"/>
      <c r="P120" s="15" t="n"/>
      <c r="Q120" s="15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20">
        <f>IFERROR(N120/L120*1000,"")</f>
        <v/>
      </c>
      <c r="AA120" s="20">
        <f>IFERROR(M120/L120*1000,"")</f>
        <v/>
      </c>
      <c r="AB120" s="20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5" t="n"/>
      <c r="M121" s="15" t="n"/>
      <c r="N121" s="15" t="n"/>
      <c r="O121" s="15" t="n"/>
      <c r="P121" s="15" t="n"/>
      <c r="Q121" s="15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20">
        <f>IFERROR(N121/L121*1000,"")</f>
        <v/>
      </c>
      <c r="AA121" s="20">
        <f>IFERROR(M121/L121*1000,"")</f>
        <v/>
      </c>
      <c r="AB121" s="20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5" t="n"/>
      <c r="M122" s="15" t="n"/>
      <c r="N122" s="15" t="n"/>
      <c r="O122" s="15" t="n"/>
      <c r="P122" s="15" t="n"/>
      <c r="Q122" s="15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20">
        <f>IFERROR(N122/L122*1000,"")</f>
        <v/>
      </c>
      <c r="AA122" s="20">
        <f>IFERROR(M122/L122*1000,"")</f>
        <v/>
      </c>
      <c r="AB122" s="20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5" t="n"/>
      <c r="M123" s="15" t="n"/>
      <c r="N123" s="15" t="n"/>
      <c r="O123" s="15" t="n"/>
      <c r="P123" s="15" t="n"/>
      <c r="Q123" s="15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20">
        <f>IFERROR(N123/L123*1000,"")</f>
        <v/>
      </c>
      <c r="AA123" s="20">
        <f>IFERROR(M123/L123*1000,"")</f>
        <v/>
      </c>
      <c r="AB123" s="20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5" t="n"/>
      <c r="M124" s="15" t="n"/>
      <c r="N124" s="15" t="n"/>
      <c r="O124" s="15" t="n"/>
      <c r="P124" s="15" t="n"/>
      <c r="Q124" s="15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20">
        <f>IFERROR(N124/L124*1000,"")</f>
        <v/>
      </c>
      <c r="AA124" s="20">
        <f>IFERROR(M124/L124*1000,"")</f>
        <v/>
      </c>
      <c r="AB124" s="20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5" t="n"/>
      <c r="M125" s="15" t="n"/>
      <c r="N125" s="15" t="n"/>
      <c r="O125" s="15" t="n"/>
      <c r="P125" s="15" t="n"/>
      <c r="Q125" s="15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20">
        <f>IFERROR(N125/L125*1000,"")</f>
        <v/>
      </c>
      <c r="AA125" s="20">
        <f>IFERROR(M125/L125*1000,"")</f>
        <v/>
      </c>
      <c r="AB125" s="20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5" t="n"/>
      <c r="M126" s="15" t="n"/>
      <c r="N126" s="15" t="n"/>
      <c r="O126" s="15" t="n"/>
      <c r="P126" s="15" t="n"/>
      <c r="Q126" s="15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20">
        <f>IFERROR(N126/L126*1000,"")</f>
        <v/>
      </c>
      <c r="AA126" s="20">
        <f>IFERROR(M126/L126*1000,"")</f>
        <v/>
      </c>
      <c r="AB126" s="20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5" t="n"/>
      <c r="M127" s="15" t="n"/>
      <c r="N127" s="15" t="n"/>
      <c r="O127" s="15" t="n"/>
      <c r="P127" s="15" t="n"/>
      <c r="Q127" s="15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20">
        <f>IFERROR(N127/L127*1000,"")</f>
        <v/>
      </c>
      <c r="AA127" s="20">
        <f>IFERROR(M127/L127*1000,"")</f>
        <v/>
      </c>
      <c r="AB127" s="20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5" t="n"/>
      <c r="M128" s="15" t="n"/>
      <c r="N128" s="15" t="n"/>
      <c r="O128" s="15" t="n"/>
      <c r="P128" s="15" t="n"/>
      <c r="Q128" s="15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20">
        <f>IFERROR(N128/L128*1000,"")</f>
        <v/>
      </c>
      <c r="AA128" s="20">
        <f>IFERROR(M128/L128*1000,"")</f>
        <v/>
      </c>
      <c r="AB128" s="20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5" t="n"/>
      <c r="M129" s="15" t="n"/>
      <c r="N129" s="15" t="n"/>
      <c r="O129" s="15" t="n"/>
      <c r="P129" s="15" t="n"/>
      <c r="Q129" s="15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20">
        <f>IFERROR(N129/L129*1000,"")</f>
        <v/>
      </c>
      <c r="AA129" s="20">
        <f>IFERROR(M129/L129*1000,"")</f>
        <v/>
      </c>
      <c r="AB129" s="20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5" t="n"/>
      <c r="M130" s="15" t="n"/>
      <c r="N130" s="15" t="n"/>
      <c r="O130" s="15" t="n"/>
      <c r="P130" s="15" t="n"/>
      <c r="Q130" s="15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20">
        <f>IFERROR(N130/L130*1000,"")</f>
        <v/>
      </c>
      <c r="AA130" s="20">
        <f>IFERROR(M130/L130*1000,"")</f>
        <v/>
      </c>
      <c r="AB130" s="20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5" t="n"/>
      <c r="M131" s="15" t="n"/>
      <c r="N131" s="15" t="n"/>
      <c r="O131" s="15" t="n"/>
      <c r="P131" s="15" t="n"/>
      <c r="Q131" s="15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20">
        <f>IFERROR(N131/L131*1000,"")</f>
        <v/>
      </c>
      <c r="AA131" s="20">
        <f>IFERROR(M131/L131*1000,"")</f>
        <v/>
      </c>
      <c r="AB131" s="20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5" t="n"/>
      <c r="M132" s="15" t="n"/>
      <c r="N132" s="15" t="n"/>
      <c r="O132" s="15" t="n"/>
      <c r="P132" s="15" t="n"/>
      <c r="Q132" s="15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20">
        <f>IFERROR(N132/L132*1000,"")</f>
        <v/>
      </c>
      <c r="AA132" s="20">
        <f>IFERROR(M132/L132*1000,"")</f>
        <v/>
      </c>
      <c r="AB132" s="20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5" t="n"/>
      <c r="M133" s="15" t="n"/>
      <c r="N133" s="15" t="n"/>
      <c r="O133" s="15" t="n"/>
      <c r="P133" s="15" t="n"/>
      <c r="Q133" s="15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20">
        <f>IFERROR(N133/L133*1000,"")</f>
        <v/>
      </c>
      <c r="AA133" s="20">
        <f>IFERROR(M133/L133*1000,"")</f>
        <v/>
      </c>
      <c r="AB133" s="20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5" t="n"/>
      <c r="M134" s="15" t="n"/>
      <c r="N134" s="15" t="n"/>
      <c r="O134" s="15" t="n"/>
      <c r="P134" s="15" t="n"/>
      <c r="Q134" s="15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20">
        <f>IFERROR(N134/L134*1000,"")</f>
        <v/>
      </c>
      <c r="AA134" s="20">
        <f>IFERROR(M134/L134*1000,"")</f>
        <v/>
      </c>
      <c r="AB134" s="20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5" t="n"/>
      <c r="M135" s="15" t="n"/>
      <c r="N135" s="15" t="n"/>
      <c r="O135" s="15" t="n"/>
      <c r="P135" s="15" t="n"/>
      <c r="Q135" s="15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20">
        <f>IFERROR(N135/L135*1000,"")</f>
        <v/>
      </c>
      <c r="AA135" s="20">
        <f>IFERROR(M135/L135*1000,"")</f>
        <v/>
      </c>
      <c r="AB135" s="20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5" t="n"/>
      <c r="M136" s="15" t="n"/>
      <c r="N136" s="15" t="n"/>
      <c r="O136" s="15" t="n"/>
      <c r="P136" s="15" t="n"/>
      <c r="Q136" s="15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20">
        <f>IFERROR(N136/L136*1000,"")</f>
        <v/>
      </c>
      <c r="AA136" s="20">
        <f>IFERROR(M136/L136*1000,"")</f>
        <v/>
      </c>
      <c r="AB136" s="20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5" t="n"/>
      <c r="M137" s="15" t="n"/>
      <c r="N137" s="15" t="n"/>
      <c r="O137" s="15" t="n"/>
      <c r="P137" s="15" t="n"/>
      <c r="Q137" s="15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20">
        <f>IFERROR(N137/L137*1000,"")</f>
        <v/>
      </c>
      <c r="AA137" s="20">
        <f>IFERROR(M137/L137*1000,"")</f>
        <v/>
      </c>
      <c r="AB137" s="20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5" t="n"/>
      <c r="M138" s="15" t="n"/>
      <c r="N138" s="15" t="n"/>
      <c r="O138" s="15" t="n"/>
      <c r="P138" s="15" t="n"/>
      <c r="Q138" s="15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20">
        <f>IFERROR(N138/L138*1000,"")</f>
        <v/>
      </c>
      <c r="AA138" s="20">
        <f>IFERROR(M138/L138*1000,"")</f>
        <v/>
      </c>
      <c r="AB138" s="20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5" t="n"/>
      <c r="M139" s="15" t="n"/>
      <c r="N139" s="15" t="n"/>
      <c r="O139" s="15" t="n"/>
      <c r="P139" s="15" t="n"/>
      <c r="Q139" s="15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20">
        <f>IFERROR(N139/L139*1000,"")</f>
        <v/>
      </c>
      <c r="AA139" s="20">
        <f>IFERROR(M139/L139*1000,"")</f>
        <v/>
      </c>
      <c r="AB139" s="20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5" t="n"/>
      <c r="M140" s="15" t="n"/>
      <c r="N140" s="15" t="n"/>
      <c r="O140" s="15" t="n"/>
      <c r="P140" s="15" t="n"/>
      <c r="Q140" s="15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20">
        <f>IFERROR(N140/L140*1000,"")</f>
        <v/>
      </c>
      <c r="AA140" s="20">
        <f>IFERROR(M140/L140*1000,"")</f>
        <v/>
      </c>
      <c r="AB140" s="20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5" t="n"/>
      <c r="M141" s="15" t="n"/>
      <c r="N141" s="15" t="n"/>
      <c r="O141" s="15" t="n"/>
      <c r="P141" s="15" t="n"/>
      <c r="Q141" s="15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20">
        <f>IFERROR(N141/L141*1000,"")</f>
        <v/>
      </c>
      <c r="AA141" s="20">
        <f>IFERROR(M141/L141*1000,"")</f>
        <v/>
      </c>
      <c r="AB141" s="20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5" t="n"/>
      <c r="M142" s="15" t="n"/>
      <c r="N142" s="15" t="n"/>
      <c r="O142" s="15" t="n"/>
      <c r="P142" s="15" t="n"/>
      <c r="Q142" s="15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20">
        <f>IFERROR(N142/L142*1000,"")</f>
        <v/>
      </c>
      <c r="AA142" s="20">
        <f>IFERROR(M142/L142*1000,"")</f>
        <v/>
      </c>
      <c r="AB142" s="20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5" t="n"/>
      <c r="M143" s="15" t="n"/>
      <c r="N143" s="15" t="n"/>
      <c r="O143" s="15" t="n"/>
      <c r="P143" s="15" t="n"/>
      <c r="Q143" s="15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20">
        <f>IFERROR(N143/L143*1000,"")</f>
        <v/>
      </c>
      <c r="AA143" s="20">
        <f>IFERROR(M143/L143*1000,"")</f>
        <v/>
      </c>
      <c r="AB143" s="20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5" t="n"/>
      <c r="M144" s="15" t="n"/>
      <c r="N144" s="15" t="n"/>
      <c r="O144" s="15" t="n"/>
      <c r="P144" s="15" t="n"/>
      <c r="Q144" s="15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20">
        <f>IFERROR(N144/L144*1000,"")</f>
        <v/>
      </c>
      <c r="AA144" s="20">
        <f>IFERROR(M144/L144*1000,"")</f>
        <v/>
      </c>
      <c r="AB144" s="20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5" t="n"/>
      <c r="M145" s="15" t="n"/>
      <c r="N145" s="15" t="n"/>
      <c r="O145" s="15" t="n"/>
      <c r="P145" s="15" t="n"/>
      <c r="Q145" s="15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20">
        <f>IFERROR(N145/L145*1000,"")</f>
        <v/>
      </c>
      <c r="AA145" s="20">
        <f>IFERROR(M145/L145*1000,"")</f>
        <v/>
      </c>
      <c r="AB145" s="20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5" t="n"/>
      <c r="M146" s="15" t="n"/>
      <c r="N146" s="15" t="n"/>
      <c r="O146" s="15" t="n"/>
      <c r="P146" s="15" t="n"/>
      <c r="Q146" s="15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20">
        <f>IFERROR(N146/L146*1000,"")</f>
        <v/>
      </c>
      <c r="AA146" s="20">
        <f>IFERROR(M146/L146*1000,"")</f>
        <v/>
      </c>
      <c r="AB146" s="20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5" t="n"/>
      <c r="M147" s="15" t="n"/>
      <c r="N147" s="15" t="n"/>
      <c r="O147" s="15" t="n"/>
      <c r="P147" s="15" t="n"/>
      <c r="Q147" s="15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20">
        <f>IFERROR(N147/L147*1000,"")</f>
        <v/>
      </c>
      <c r="AA147" s="20">
        <f>IFERROR(M147/L147*1000,"")</f>
        <v/>
      </c>
      <c r="AB147" s="20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5" t="n"/>
      <c r="M148" s="15" t="n"/>
      <c r="N148" s="15" t="n"/>
      <c r="O148" s="15" t="n"/>
      <c r="P148" s="15" t="n"/>
      <c r="Q148" s="15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20">
        <f>IFERROR(N148/L148*1000,"")</f>
        <v/>
      </c>
      <c r="AA148" s="20">
        <f>IFERROR(M148/L148*1000,"")</f>
        <v/>
      </c>
      <c r="AB148" s="20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5" t="n"/>
      <c r="M149" s="15" t="n"/>
      <c r="N149" s="15" t="n"/>
      <c r="O149" s="15" t="n"/>
      <c r="P149" s="15" t="n"/>
      <c r="Q149" s="15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20">
        <f>IFERROR(N149/L149*1000,"")</f>
        <v/>
      </c>
      <c r="AA149" s="20">
        <f>IFERROR(M149/L149*1000,"")</f>
        <v/>
      </c>
      <c r="AB149" s="20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5" t="n"/>
      <c r="M150" s="15" t="n"/>
      <c r="N150" s="15" t="n"/>
      <c r="O150" s="15" t="n"/>
      <c r="P150" s="15" t="n"/>
      <c r="Q150" s="15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20">
        <f>IFERROR(N150/L150*1000,"")</f>
        <v/>
      </c>
      <c r="AA150" s="20">
        <f>IFERROR(M150/L150*1000,"")</f>
        <v/>
      </c>
      <c r="AB150" s="20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5" t="n"/>
      <c r="M151" s="15" t="n"/>
      <c r="N151" s="15" t="n"/>
      <c r="O151" s="15" t="n"/>
      <c r="P151" s="15" t="n"/>
      <c r="Q151" s="15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20">
        <f>IFERROR(N151/L151*1000,"")</f>
        <v/>
      </c>
      <c r="AA151" s="20">
        <f>IFERROR(M151/L151*1000,"")</f>
        <v/>
      </c>
      <c r="AB151" s="20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5" t="n"/>
      <c r="M152" s="15" t="n"/>
      <c r="N152" s="15" t="n"/>
      <c r="O152" s="15" t="n"/>
      <c r="P152" s="15" t="n"/>
      <c r="Q152" s="15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20">
        <f>IFERROR(N152/L152*1000,"")</f>
        <v/>
      </c>
      <c r="AA152" s="20">
        <f>IFERROR(M152/L152*1000,"")</f>
        <v/>
      </c>
      <c r="AB152" s="20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5" t="n"/>
      <c r="M153" s="15" t="n"/>
      <c r="N153" s="15" t="n"/>
      <c r="O153" s="15" t="n"/>
      <c r="P153" s="15" t="n"/>
      <c r="Q153" s="15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20">
        <f>IFERROR(N153/L153*1000,"")</f>
        <v/>
      </c>
      <c r="AA153" s="20">
        <f>IFERROR(M153/L153*1000,"")</f>
        <v/>
      </c>
      <c r="AB153" s="20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5" t="n"/>
      <c r="M154" s="15" t="n"/>
      <c r="N154" s="15" t="n"/>
      <c r="O154" s="15" t="n"/>
      <c r="P154" s="15" t="n"/>
      <c r="Q154" s="15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20">
        <f>IFERROR(N154/L154*1000,"")</f>
        <v/>
      </c>
      <c r="AA154" s="20">
        <f>IFERROR(M154/L154*1000,"")</f>
        <v/>
      </c>
      <c r="AB154" s="20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5" t="n"/>
      <c r="M155" s="15" t="n"/>
      <c r="N155" s="15" t="n"/>
      <c r="O155" s="15" t="n"/>
      <c r="P155" s="15" t="n"/>
      <c r="Q155" s="15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20">
        <f>IFERROR(N155/L155*1000,"")</f>
        <v/>
      </c>
      <c r="AA155" s="20">
        <f>IFERROR(M155/L155*1000,"")</f>
        <v/>
      </c>
      <c r="AB155" s="20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5" t="n"/>
      <c r="M156" s="15" t="n"/>
      <c r="N156" s="15" t="n"/>
      <c r="O156" s="15" t="n"/>
      <c r="P156" s="15" t="n"/>
      <c r="Q156" s="15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20">
        <f>IFERROR(N156/L156*1000,"")</f>
        <v/>
      </c>
      <c r="AA156" s="20">
        <f>IFERROR(M156/L156*1000,"")</f>
        <v/>
      </c>
      <c r="AB156" s="20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5" t="n"/>
      <c r="M157" s="15" t="n"/>
      <c r="N157" s="15" t="n"/>
      <c r="O157" s="15" t="n"/>
      <c r="P157" s="15" t="n"/>
      <c r="Q157" s="15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20">
        <f>IFERROR(N157/L157*1000,"")</f>
        <v/>
      </c>
      <c r="AA157" s="20">
        <f>IFERROR(M157/L157*1000,"")</f>
        <v/>
      </c>
      <c r="AB157" s="20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5" t="n"/>
      <c r="M158" s="15" t="n"/>
      <c r="N158" s="15" t="n"/>
      <c r="O158" s="15" t="n"/>
      <c r="P158" s="15" t="n"/>
      <c r="Q158" s="15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20">
        <f>IFERROR(N158/L158*1000,"")</f>
        <v/>
      </c>
      <c r="AA158" s="20">
        <f>IFERROR(M158/L158*1000,"")</f>
        <v/>
      </c>
      <c r="AB158" s="20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5" t="n"/>
      <c r="M159" s="15" t="n"/>
      <c r="N159" s="15" t="n"/>
      <c r="O159" s="15" t="n"/>
      <c r="P159" s="15" t="n"/>
      <c r="Q159" s="15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20">
        <f>IFERROR(N159/L159*1000,"")</f>
        <v/>
      </c>
      <c r="AA159" s="20">
        <f>IFERROR(M159/L159*1000,"")</f>
        <v/>
      </c>
      <c r="AB159" s="20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5" t="n"/>
      <c r="M160" s="15" t="n"/>
      <c r="N160" s="15" t="n"/>
      <c r="O160" s="15" t="n"/>
      <c r="P160" s="15" t="n"/>
      <c r="Q160" s="15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20">
        <f>IFERROR(N160/L160*1000,"")</f>
        <v/>
      </c>
      <c r="AA160" s="20">
        <f>IFERROR(M160/L160*1000,"")</f>
        <v/>
      </c>
      <c r="AB160" s="20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5" t="n"/>
      <c r="M161" s="15" t="n"/>
      <c r="N161" s="15" t="n"/>
      <c r="O161" s="15" t="n"/>
      <c r="P161" s="15" t="n"/>
      <c r="Q161" s="15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20">
        <f>IFERROR(N161/L161*1000,"")</f>
        <v/>
      </c>
      <c r="AA161" s="20">
        <f>IFERROR(M161/L161*1000,"")</f>
        <v/>
      </c>
      <c r="AB161" s="20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5" t="n"/>
      <c r="M162" s="15" t="n"/>
      <c r="N162" s="15" t="n"/>
      <c r="O162" s="15" t="n"/>
      <c r="P162" s="15" t="n"/>
      <c r="Q162" s="15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20">
        <f>IFERROR(N162/L162*1000,"")</f>
        <v/>
      </c>
      <c r="AA162" s="20">
        <f>IFERROR(M162/L162*1000,"")</f>
        <v/>
      </c>
      <c r="AB162" s="20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5" t="n"/>
      <c r="M163" s="15" t="n"/>
      <c r="N163" s="15" t="n"/>
      <c r="O163" s="15" t="n"/>
      <c r="P163" s="15" t="n"/>
      <c r="Q163" s="15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20">
        <f>IFERROR(N163/L163*1000,"")</f>
        <v/>
      </c>
      <c r="AA163" s="20">
        <f>IFERROR(M163/L163*1000,"")</f>
        <v/>
      </c>
      <c r="AB163" s="20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5" t="n"/>
      <c r="M164" s="15" t="n"/>
      <c r="N164" s="15" t="n"/>
      <c r="O164" s="15" t="n"/>
      <c r="P164" s="15" t="n"/>
      <c r="Q164" s="15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20">
        <f>IFERROR(N164/L164*1000,"")</f>
        <v/>
      </c>
      <c r="AA164" s="20">
        <f>IFERROR(M164/L164*1000,"")</f>
        <v/>
      </c>
      <c r="AB164" s="20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5" t="n"/>
      <c r="M165" s="15" t="n"/>
      <c r="N165" s="15" t="n"/>
      <c r="O165" s="15" t="n"/>
      <c r="P165" s="15" t="n"/>
      <c r="Q165" s="15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20">
        <f>IFERROR(N165/L165*1000,"")</f>
        <v/>
      </c>
      <c r="AA165" s="20">
        <f>IFERROR(M165/L165*1000,"")</f>
        <v/>
      </c>
      <c r="AB165" s="20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5" t="n"/>
      <c r="M166" s="15" t="n"/>
      <c r="N166" s="15" t="n"/>
      <c r="O166" s="15" t="n"/>
      <c r="P166" s="15" t="n"/>
      <c r="Q166" s="15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20">
        <f>IFERROR(N166/L166*1000,"")</f>
        <v/>
      </c>
      <c r="AA166" s="20">
        <f>IFERROR(M166/L166*1000,"")</f>
        <v/>
      </c>
      <c r="AB166" s="20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5" t="n"/>
      <c r="M167" s="15" t="n"/>
      <c r="N167" s="15" t="n"/>
      <c r="O167" s="15" t="n"/>
      <c r="P167" s="15" t="n"/>
      <c r="Q167" s="15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20">
        <f>IFERROR(N167/L167*1000,"")</f>
        <v/>
      </c>
      <c r="AA167" s="20">
        <f>IFERROR(M167/L167*1000,"")</f>
        <v/>
      </c>
      <c r="AB167" s="20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5" t="n"/>
      <c r="M168" s="15" t="n"/>
      <c r="N168" s="15" t="n"/>
      <c r="O168" s="15" t="n"/>
      <c r="P168" s="15" t="n"/>
      <c r="Q168" s="15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20">
        <f>IFERROR(N168/L168*1000,"")</f>
        <v/>
      </c>
      <c r="AA168" s="20">
        <f>IFERROR(M168/L168*1000,"")</f>
        <v/>
      </c>
      <c r="AB168" s="20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5" t="n"/>
      <c r="M169" s="15" t="n"/>
      <c r="N169" s="15" t="n"/>
      <c r="O169" s="15" t="n"/>
      <c r="P169" s="15" t="n"/>
      <c r="Q169" s="15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20">
        <f>IFERROR(N169/L169*1000,"")</f>
        <v/>
      </c>
      <c r="AA169" s="20">
        <f>IFERROR(M169/L169*1000,"")</f>
        <v/>
      </c>
      <c r="AB169" s="20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5" t="n"/>
      <c r="M170" s="15" t="n"/>
      <c r="N170" s="15" t="n"/>
      <c r="O170" s="15" t="n"/>
      <c r="P170" s="15" t="n"/>
      <c r="Q170" s="15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20">
        <f>IFERROR(N170/L170*1000,"")</f>
        <v/>
      </c>
      <c r="AA170" s="20">
        <f>IFERROR(M170/L170*1000,"")</f>
        <v/>
      </c>
      <c r="AB170" s="20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5" t="n"/>
      <c r="M171" s="15" t="n"/>
      <c r="N171" s="15" t="n"/>
      <c r="O171" s="15" t="n"/>
      <c r="P171" s="15" t="n"/>
      <c r="Q171" s="15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20">
        <f>IFERROR(N171/L171*1000,"")</f>
        <v/>
      </c>
      <c r="AA171" s="20">
        <f>IFERROR(M171/L171*1000,"")</f>
        <v/>
      </c>
      <c r="AB171" s="20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5" t="n"/>
      <c r="M172" s="15" t="n"/>
      <c r="N172" s="15" t="n"/>
      <c r="O172" s="15" t="n"/>
      <c r="P172" s="15" t="n"/>
      <c r="Q172" s="15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20">
        <f>IFERROR(N172/L172*1000,"")</f>
        <v/>
      </c>
      <c r="AA172" s="20">
        <f>IFERROR(M172/L172*1000,"")</f>
        <v/>
      </c>
      <c r="AB172" s="20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5" t="n"/>
      <c r="M173" s="15" t="n"/>
      <c r="N173" s="15" t="n"/>
      <c r="O173" s="15" t="n"/>
      <c r="P173" s="15" t="n"/>
      <c r="Q173" s="15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20">
        <f>IFERROR(N173/L173*1000,"")</f>
        <v/>
      </c>
      <c r="AA173" s="20">
        <f>IFERROR(M173/L173*1000,"")</f>
        <v/>
      </c>
      <c r="AB173" s="20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5" t="n"/>
      <c r="M174" s="15" t="n"/>
      <c r="N174" s="15" t="n"/>
      <c r="O174" s="15" t="n"/>
      <c r="P174" s="15" t="n"/>
      <c r="Q174" s="15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20">
        <f>IFERROR(N174/L174*1000,"")</f>
        <v/>
      </c>
      <c r="AA174" s="20">
        <f>IFERROR(M174/L174*1000,"")</f>
        <v/>
      </c>
      <c r="AB174" s="20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5" t="n"/>
      <c r="M175" s="15" t="n"/>
      <c r="N175" s="15" t="n"/>
      <c r="O175" s="15" t="n"/>
      <c r="P175" s="15" t="n"/>
      <c r="Q175" s="15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20">
        <f>IFERROR(N175/L175*1000,"")</f>
        <v/>
      </c>
      <c r="AA175" s="20">
        <f>IFERROR(M175/L175*1000,"")</f>
        <v/>
      </c>
      <c r="AB175" s="20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5" t="n"/>
      <c r="M176" s="15" t="n"/>
      <c r="N176" s="15" t="n"/>
      <c r="O176" s="15" t="n"/>
      <c r="P176" s="15" t="n"/>
      <c r="Q176" s="15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20">
        <f>IFERROR(N176/L176*1000,"")</f>
        <v/>
      </c>
      <c r="AA176" s="20">
        <f>IFERROR(M176/L176*1000,"")</f>
        <v/>
      </c>
      <c r="AB176" s="20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5" t="n"/>
      <c r="M177" s="15" t="n"/>
      <c r="N177" s="15" t="n"/>
      <c r="O177" s="15" t="n"/>
      <c r="P177" s="15" t="n"/>
      <c r="Q177" s="15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20">
        <f>IFERROR(N177/L177*1000,"")</f>
        <v/>
      </c>
      <c r="AA177" s="20">
        <f>IFERROR(M177/L177*1000,"")</f>
        <v/>
      </c>
      <c r="AB177" s="20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5" t="n"/>
      <c r="M178" s="15" t="n"/>
      <c r="N178" s="15" t="n"/>
      <c r="O178" s="15" t="n"/>
      <c r="P178" s="15" t="n"/>
      <c r="Q178" s="15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20">
        <f>IFERROR(N178/L178*1000,"")</f>
        <v/>
      </c>
      <c r="AA178" s="20">
        <f>IFERROR(M178/L178*1000,"")</f>
        <v/>
      </c>
      <c r="AB178" s="20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5" t="n"/>
      <c r="M179" s="15" t="n"/>
      <c r="N179" s="15" t="n"/>
      <c r="O179" s="15" t="n"/>
      <c r="P179" s="15" t="n"/>
      <c r="Q179" s="15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20">
        <f>IFERROR(N179/L179*1000,"")</f>
        <v/>
      </c>
      <c r="AA179" s="20">
        <f>IFERROR(M179/L179*1000,"")</f>
        <v/>
      </c>
      <c r="AB179" s="20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5" t="n"/>
      <c r="M180" s="15" t="n"/>
      <c r="N180" s="15" t="n"/>
      <c r="O180" s="15" t="n"/>
      <c r="P180" s="15" t="n"/>
      <c r="Q180" s="15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20">
        <f>IFERROR(N180/L180*1000,"")</f>
        <v/>
      </c>
      <c r="AA180" s="20">
        <f>IFERROR(M180/L180*1000,"")</f>
        <v/>
      </c>
      <c r="AB180" s="20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5" t="n"/>
      <c r="M181" s="15" t="n"/>
      <c r="N181" s="15" t="n"/>
      <c r="O181" s="15" t="n"/>
      <c r="P181" s="15" t="n"/>
      <c r="Q181" s="15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20">
        <f>IFERROR(N181/L181*1000,"")</f>
        <v/>
      </c>
      <c r="AA181" s="20">
        <f>IFERROR(M181/L181*1000,"")</f>
        <v/>
      </c>
      <c r="AB181" s="20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5" t="n"/>
      <c r="M182" s="15" t="n"/>
      <c r="N182" s="15" t="n"/>
      <c r="O182" s="15" t="n"/>
      <c r="P182" s="15" t="n"/>
      <c r="Q182" s="15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20">
        <f>IFERROR(N182/L182*1000,"")</f>
        <v/>
      </c>
      <c r="AA182" s="20">
        <f>IFERROR(M182/L182*1000,"")</f>
        <v/>
      </c>
      <c r="AB182" s="20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5" t="n"/>
      <c r="M183" s="15" t="n"/>
      <c r="N183" s="15" t="n"/>
      <c r="O183" s="15" t="n"/>
      <c r="P183" s="15" t="n"/>
      <c r="Q183" s="15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20">
        <f>IFERROR(N183/L183*1000,"")</f>
        <v/>
      </c>
      <c r="AA183" s="20">
        <f>IFERROR(M183/L183*1000,"")</f>
        <v/>
      </c>
      <c r="AB183" s="20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5" t="n"/>
      <c r="M184" s="15" t="n"/>
      <c r="N184" s="15" t="n"/>
      <c r="O184" s="15" t="n"/>
      <c r="P184" s="15" t="n"/>
      <c r="Q184" s="15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20">
        <f>IFERROR(N184/L184*1000,"")</f>
        <v/>
      </c>
      <c r="AA184" s="20">
        <f>IFERROR(M184/L184*1000,"")</f>
        <v/>
      </c>
      <c r="AB184" s="20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5" t="n"/>
      <c r="M185" s="15" t="n"/>
      <c r="N185" s="15" t="n"/>
      <c r="O185" s="15" t="n"/>
      <c r="P185" s="15" t="n"/>
      <c r="Q185" s="15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20">
        <f>IFERROR(N185/L185*1000,"")</f>
        <v/>
      </c>
      <c r="AA185" s="20">
        <f>IFERROR(M185/L185*1000,"")</f>
        <v/>
      </c>
      <c r="AB185" s="20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5" t="n"/>
      <c r="M186" s="15" t="n"/>
      <c r="N186" s="15" t="n"/>
      <c r="O186" s="15" t="n"/>
      <c r="P186" s="15" t="n"/>
      <c r="Q186" s="15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20">
        <f>IFERROR(N186/L186*1000,"")</f>
        <v/>
      </c>
      <c r="AA186" s="20">
        <f>IFERROR(M186/L186*1000,"")</f>
        <v/>
      </c>
      <c r="AB186" s="20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5" t="n"/>
      <c r="M187" s="15" t="n"/>
      <c r="N187" s="15" t="n"/>
      <c r="O187" s="15" t="n"/>
      <c r="P187" s="15" t="n"/>
      <c r="Q187" s="15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20">
        <f>IFERROR(N187/L187*1000,"")</f>
        <v/>
      </c>
      <c r="AA187" s="20">
        <f>IFERROR(M187/L187*1000,"")</f>
        <v/>
      </c>
      <c r="AB187" s="20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5" t="n"/>
      <c r="M188" s="15" t="n"/>
      <c r="N188" s="15" t="n"/>
      <c r="O188" s="15" t="n"/>
      <c r="P188" s="15" t="n"/>
      <c r="Q188" s="15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20">
        <f>IFERROR(N188/L188*1000,"")</f>
        <v/>
      </c>
      <c r="AA188" s="20">
        <f>IFERROR(M188/L188*1000,"")</f>
        <v/>
      </c>
      <c r="AB188" s="20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5" t="n"/>
      <c r="M189" s="15" t="n"/>
      <c r="N189" s="15" t="n"/>
      <c r="O189" s="15" t="n"/>
      <c r="P189" s="15" t="n"/>
      <c r="Q189" s="15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20">
        <f>IFERROR(N189/L189*1000,"")</f>
        <v/>
      </c>
      <c r="AA189" s="20">
        <f>IFERROR(M189/L189*1000,"")</f>
        <v/>
      </c>
      <c r="AB189" s="20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5" t="n"/>
      <c r="M190" s="15" t="n"/>
      <c r="N190" s="15" t="n"/>
      <c r="O190" s="15" t="n"/>
      <c r="P190" s="15" t="n"/>
      <c r="Q190" s="15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20">
        <f>IFERROR(N190/L190*1000,"")</f>
        <v/>
      </c>
      <c r="AA190" s="20">
        <f>IFERROR(M190/L190*1000,"")</f>
        <v/>
      </c>
      <c r="AB190" s="20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5" t="n"/>
      <c r="M191" s="15" t="n"/>
      <c r="N191" s="15" t="n"/>
      <c r="O191" s="15" t="n"/>
      <c r="P191" s="15" t="n"/>
      <c r="Q191" s="15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20">
        <f>IFERROR(N191/L191*1000,"")</f>
        <v/>
      </c>
      <c r="AA191" s="20">
        <f>IFERROR(M191/L191*1000,"")</f>
        <v/>
      </c>
      <c r="AB191" s="20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5" t="n"/>
      <c r="M192" s="15" t="n"/>
      <c r="N192" s="15" t="n"/>
      <c r="O192" s="15" t="n"/>
      <c r="P192" s="15" t="n"/>
      <c r="Q192" s="15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20">
        <f>IFERROR(N192/L192*1000,"")</f>
        <v/>
      </c>
      <c r="AA192" s="20">
        <f>IFERROR(M192/L192*1000,"")</f>
        <v/>
      </c>
      <c r="AB192" s="20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5" t="n"/>
      <c r="M193" s="15" t="n"/>
      <c r="N193" s="15" t="n"/>
      <c r="O193" s="15" t="n"/>
      <c r="P193" s="15" t="n"/>
      <c r="Q193" s="15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20">
        <f>IFERROR(N193/L193*1000,"")</f>
        <v/>
      </c>
      <c r="AA193" s="20">
        <f>IFERROR(M193/L193*1000,"")</f>
        <v/>
      </c>
      <c r="AB193" s="20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5" t="n"/>
      <c r="M194" s="15" t="n"/>
      <c r="N194" s="15" t="n"/>
      <c r="O194" s="15" t="n"/>
      <c r="P194" s="15" t="n"/>
      <c r="Q194" s="15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20">
        <f>IFERROR(N194/L194*1000,"")</f>
        <v/>
      </c>
      <c r="AA194" s="20">
        <f>IFERROR(M194/L194*1000,"")</f>
        <v/>
      </c>
      <c r="AB194" s="20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5" t="n"/>
      <c r="M195" s="15" t="n"/>
      <c r="N195" s="15" t="n"/>
      <c r="O195" s="15" t="n"/>
      <c r="P195" s="15" t="n"/>
      <c r="Q195" s="15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20">
        <f>IFERROR(N195/L195*1000,"")</f>
        <v/>
      </c>
      <c r="AA195" s="20">
        <f>IFERROR(M195/L195*1000,"")</f>
        <v/>
      </c>
      <c r="AB195" s="20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5" t="n"/>
      <c r="M196" s="15" t="n"/>
      <c r="N196" s="15" t="n"/>
      <c r="O196" s="15" t="n"/>
      <c r="P196" s="15" t="n"/>
      <c r="Q196" s="15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20">
        <f>IFERROR(N196/L196*1000,"")</f>
        <v/>
      </c>
      <c r="AA196" s="20">
        <f>IFERROR(M196/L196*1000,"")</f>
        <v/>
      </c>
      <c r="AB196" s="20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5" t="n"/>
      <c r="M197" s="15" t="n"/>
      <c r="N197" s="15" t="n"/>
      <c r="O197" s="15" t="n"/>
      <c r="P197" s="15" t="n"/>
      <c r="Q197" s="15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20">
        <f>IFERROR(N197/L197*1000,"")</f>
        <v/>
      </c>
      <c r="AA197" s="20">
        <f>IFERROR(M197/L197*1000,"")</f>
        <v/>
      </c>
      <c r="AB197" s="20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5" t="n"/>
      <c r="M198" s="15" t="n"/>
      <c r="N198" s="15" t="n"/>
      <c r="O198" s="15" t="n"/>
      <c r="P198" s="15" t="n"/>
      <c r="Q198" s="15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20">
        <f>IFERROR(N198/L198*1000,"")</f>
        <v/>
      </c>
      <c r="AA198" s="20">
        <f>IFERROR(M198/L198*1000,"")</f>
        <v/>
      </c>
      <c r="AB198" s="20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5" t="n"/>
      <c r="M199" s="15" t="n"/>
      <c r="N199" s="15" t="n"/>
      <c r="O199" s="15" t="n"/>
      <c r="P199" s="15" t="n"/>
      <c r="Q199" s="15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20">
        <f>IFERROR(N199/L199*1000,"")</f>
        <v/>
      </c>
      <c r="AA199" s="20">
        <f>IFERROR(M199/L199*1000,"")</f>
        <v/>
      </c>
      <c r="AB199" s="20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5" t="n"/>
      <c r="M200" s="15" t="n"/>
      <c r="N200" s="15" t="n"/>
      <c r="O200" s="15" t="n"/>
      <c r="P200" s="15" t="n"/>
      <c r="Q200" s="15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20">
        <f>IFERROR(N200/L200*1000,"")</f>
        <v/>
      </c>
      <c r="AA200" s="20">
        <f>IFERROR(M200/L200*1000,"")</f>
        <v/>
      </c>
      <c r="AB200" s="20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5" t="n"/>
      <c r="M201" s="15" t="n"/>
      <c r="N201" s="15" t="n"/>
      <c r="O201" s="15" t="n"/>
      <c r="P201" s="15" t="n"/>
      <c r="Q201" s="15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20">
        <f>IFERROR(N201/L201*1000,"")</f>
        <v/>
      </c>
      <c r="AA201" s="20">
        <f>IFERROR(M201/L201*1000,"")</f>
        <v/>
      </c>
      <c r="AB201" s="20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5" t="n"/>
      <c r="M202" s="15" t="n"/>
      <c r="N202" s="15" t="n"/>
      <c r="O202" s="15" t="n"/>
      <c r="P202" s="15" t="n"/>
      <c r="Q202" s="15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20">
        <f>IFERROR(N202/L202*1000,"")</f>
        <v/>
      </c>
      <c r="AA202" s="20">
        <f>IFERROR(M202/L202*1000,"")</f>
        <v/>
      </c>
      <c r="AB202" s="20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5" t="n"/>
      <c r="M203" s="15" t="n"/>
      <c r="N203" s="15" t="n"/>
      <c r="O203" s="15" t="n"/>
      <c r="P203" s="15" t="n"/>
      <c r="Q203" s="15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20">
        <f>IFERROR(N203/L203*1000,"")</f>
        <v/>
      </c>
      <c r="AA203" s="20">
        <f>IFERROR(M203/L203*1000,"")</f>
        <v/>
      </c>
      <c r="AB203" s="20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5" t="n"/>
      <c r="M204" s="15" t="n"/>
      <c r="N204" s="15" t="n"/>
      <c r="O204" s="15" t="n"/>
      <c r="P204" s="15" t="n"/>
      <c r="Q204" s="15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20">
        <f>IFERROR(N204/L204*1000,"")</f>
        <v/>
      </c>
      <c r="AA204" s="20">
        <f>IFERROR(M204/L204*1000,"")</f>
        <v/>
      </c>
      <c r="AB204" s="20" t="n"/>
    </row>
  </sheetData>
  <autoFilter ref="A4:AB204"/>
  <mergeCells count="3">
    <mergeCell ref="A1:T1"/>
    <mergeCell ref="A3:T3"/>
    <mergeCell ref="A2:T2"/>
  </mergeCells>
  <dataValidations count="4">
    <dataValidation sqref="T5:T500" showDropDown="1" showInputMessage="0" showErrorMessage="0" allowBlank="1" type="list">
      <formula1>"A coletar,Coletado,Analisado,Adaptado"</formula1>
    </dataValidation>
    <dataValidation sqref="D5:D1000" showDropDown="0" showInputMessage="0" showErrorMessage="0" allowBlank="1" type="list">
      <formula1>"Direto BR,Direto INT,Adjacente BR,Adjacente INT,Macro/brand,Formato/Humor"</formula1>
    </dataValidation>
    <dataValidation sqref="T5:T1000" showDropDown="0" showInputMessage="0" showErrorMessage="0" allowBlank="1" type="list">
      <formula1>"Para coletar,Coletado,Selecionado,Descartar"</formula1>
    </dataValidation>
    <dataValidation sqref="X5:X1000" showDropDown="0" showInputMessage="0" showErrorMessage="0" allowBlank="1" type="list">
      <formula1>"Pedido de material,Pedido de aprofundamento,Identificação,Discordância/controvérsia,Tema concorrente,Pedido de exemplo"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4" customWidth="1" min="3" max="3"/>
    <col width="42" customWidth="1" min="4" max="4"/>
  </cols>
  <sheetData>
    <row r="1" ht="24" customHeight="1">
      <c r="A1" s="21" t="inlineStr">
        <is>
          <t>Critérios de viralidade - YouTube</t>
        </is>
      </c>
    </row>
    <row r="2" ht="24" customHeight="1">
      <c r="A2" s="22" t="inlineStr">
        <is>
          <t>Viral aqui significa: um vídeo que rompe o padrão do canal e/ou revela uma demanda clara do público, não apenas um vídeo com muitos views.</t>
        </is>
      </c>
    </row>
    <row r="3" ht="24" customHeight="1">
      <c r="A3" s="22" t="inlineStr">
        <is>
          <t>Use esta aba para padronizar a seleção dos vídeos que merecem estudo de gancho, tema, comentário e potencial de produto.</t>
        </is>
      </c>
    </row>
    <row r="4">
      <c r="A4" s="23" t="inlineStr">
        <is>
          <t>Regra</t>
        </is>
      </c>
      <c r="B4" s="23" t="inlineStr">
        <is>
          <t>Como medir</t>
        </is>
      </c>
      <c r="C4" s="23" t="inlineStr">
        <is>
          <t>O que conta como viral</t>
        </is>
      </c>
      <c r="D4" s="23" t="inlineStr">
        <is>
          <t>Leitura editorial</t>
        </is>
      </c>
    </row>
    <row r="5">
      <c r="A5" s="12" t="inlineStr">
        <is>
          <t>Outlier do canal</t>
        </is>
      </c>
      <c r="B5" s="12" t="inlineStr">
        <is>
          <t>Comparar com a mediana dos últimos 20 vídeos do mesmo canal</t>
        </is>
      </c>
      <c r="C5" s="12" t="inlineStr">
        <is>
          <t>&gt;= 2,5x a mediana em canais médios; &gt;= 3x em canais pequenos</t>
        </is>
      </c>
      <c r="D5" s="12" t="inlineStr">
        <is>
          <t>Vídeo rompeu o padrão e merece análise imediata.</t>
        </is>
      </c>
    </row>
    <row r="6">
      <c r="A6" s="12" t="inlineStr">
        <is>
          <t>Comentário por view</t>
        </is>
      </c>
      <c r="B6" s="12" t="inlineStr">
        <is>
          <t>Comentários / 1.000 views</t>
        </is>
      </c>
      <c r="C6" s="12" t="inlineStr">
        <is>
          <t>&gt;= 8 é forte; &gt;= 12 é muito forte no nicho</t>
        </is>
      </c>
      <c r="D6" s="12" t="inlineStr">
        <is>
          <t>Sinal de tema quente, polêmico ou muito útil.</t>
        </is>
      </c>
    </row>
    <row r="7">
      <c r="A7" s="12" t="inlineStr">
        <is>
          <t>Like por view</t>
        </is>
      </c>
      <c r="B7" s="12" t="inlineStr">
        <is>
          <t>Likes / 1.000 views</t>
        </is>
      </c>
      <c r="C7" s="12" t="inlineStr">
        <is>
          <t>&gt;= 25 indica aceitação; muito acima disso mostra embalamento forte</t>
        </is>
      </c>
      <c r="D7" s="12" t="inlineStr">
        <is>
          <t>Ajuda a distinguir conteúdo útil de conteúdo só polêmico.</t>
        </is>
      </c>
    </row>
    <row r="8">
      <c r="A8" s="12" t="inlineStr">
        <is>
          <t>Demanda explícita</t>
        </is>
      </c>
      <c r="B8" s="12" t="inlineStr">
        <is>
          <t>Ler comentários buscando pedidos, dúvidas, listas e templates</t>
        </is>
      </c>
      <c r="C8" s="12" t="inlineStr">
        <is>
          <t>Quando o público pede: roteiro, exemplo, PDF, checklist, aula pronta</t>
        </is>
      </c>
      <c r="D8" s="12" t="inlineStr">
        <is>
          <t>Isso aponta para tema produtizável.</t>
        </is>
      </c>
    </row>
    <row r="9">
      <c r="A9" s="12" t="inlineStr">
        <is>
          <t>Polarização útil</t>
        </is>
      </c>
      <c r="B9" s="12" t="inlineStr">
        <is>
          <t>Comentários com discordância educada, defesa de posição ou debate sobre a prática</t>
        </is>
      </c>
      <c r="C9" s="12" t="inlineStr">
        <is>
          <t>Tema com tensão real: indisciplina, celular, autoridade, inclusão, burnout</t>
        </is>
      </c>
      <c r="D9" s="12" t="inlineStr">
        <is>
          <t>Bom para carrossel, vídeo curto e sequência de conteúdo.</t>
        </is>
      </c>
    </row>
    <row r="10">
      <c r="A10" s="12" t="inlineStr">
        <is>
          <t>Concorrência de tema</t>
        </is>
      </c>
      <c r="B10" s="12" t="inlineStr">
        <is>
          <t>Comentários citam outro assunto que o público queria ver no lugar</t>
        </is>
      </c>
      <c r="C10" s="12" t="inlineStr">
        <is>
          <t>Quando aparece “faça também sobre X” ou “isso é parte de Y”</t>
        </is>
      </c>
      <c r="D10" s="12" t="inlineStr">
        <is>
          <t>Ajuda a mapear subtemas e próxima pauta.</t>
        </is>
      </c>
    </row>
    <row r="11">
      <c r="A11" s="12" t="inlineStr">
        <is>
          <t>Potencial de negócio</t>
        </is>
      </c>
      <c r="B11" s="12" t="inlineStr">
        <is>
          <t>Ver se o vídeo leva para curso, livro, assinatura, produto ou comunidade</t>
        </is>
      </c>
      <c r="C11" s="12" t="inlineStr">
        <is>
          <t>Conteúdo com CTA, lead magnet ou oferta próxima do tema</t>
        </is>
      </c>
      <c r="D11" s="12" t="inlineStr">
        <is>
          <t>Priorizar o que pode virar ativo do Professor Rafael.</t>
        </is>
      </c>
    </row>
    <row r="14">
      <c r="A14" s="23" t="inlineStr">
        <is>
          <t>Tipo de comentário</t>
        </is>
      </c>
      <c r="B14" s="23" t="inlineStr">
        <is>
          <t>Sinal prático</t>
        </is>
      </c>
      <c r="C14" s="23" t="inlineStr">
        <is>
          <t>Como classificar</t>
        </is>
      </c>
      <c r="D14" s="23" t="inlineStr">
        <is>
          <t>O que extrair</t>
        </is>
      </c>
    </row>
    <row r="15">
      <c r="A15" s="12" t="inlineStr">
        <is>
          <t>Pedido de material</t>
        </is>
      </c>
      <c r="B15" s="12" t="inlineStr">
        <is>
          <t>Usuário quer template, PDF, checklist, lista, aula pronta</t>
        </is>
      </c>
      <c r="C15" s="12" t="inlineStr">
        <is>
          <t>Alta demanda de utilidade</t>
        </is>
      </c>
      <c r="D15" s="12" t="inlineStr">
        <is>
          <t>Ótimo para produto ou carrossel salvável.</t>
        </is>
      </c>
    </row>
    <row r="16">
      <c r="A16" s="12" t="inlineStr">
        <is>
          <t>Pedido de aprofundamento</t>
        </is>
      </c>
      <c r="B16" s="12" t="inlineStr">
        <is>
          <t>Pede teoria, exemplo ou expansão do raciocínio</t>
        </is>
      </c>
      <c r="C16" s="12" t="inlineStr">
        <is>
          <t>Alta autoridade percebida</t>
        </is>
      </c>
      <c r="D16" s="12" t="inlineStr">
        <is>
          <t>Bom para conteúdo mais denso e sequência.</t>
        </is>
      </c>
    </row>
    <row r="17">
      <c r="A17" s="12" t="inlineStr">
        <is>
          <t>Identificação</t>
        </is>
      </c>
      <c r="B17" s="12" t="inlineStr">
        <is>
          <t>Relatos do tipo “isso acontece comigo”, “na minha escola é assim”</t>
        </is>
      </c>
      <c r="C17" s="12" t="inlineStr">
        <is>
          <t>Alta ressonância emocional</t>
        </is>
      </c>
      <c r="D17" s="12" t="inlineStr">
        <is>
          <t>Ótimo para abrir carrossel e criar comunidade.</t>
        </is>
      </c>
    </row>
    <row r="18">
      <c r="A18" s="12" t="inlineStr">
        <is>
          <t>Discordância/controvérsia</t>
        </is>
      </c>
      <c r="B18" s="12" t="inlineStr">
        <is>
          <t>Debate, defesa, contraexemplo, correção</t>
        </is>
      </c>
      <c r="C18" s="12" t="inlineStr">
        <is>
          <t>Tema quente e polarizante</t>
        </is>
      </c>
      <c r="D18" s="12" t="inlineStr">
        <is>
          <t>Bom para temas com ponto de vista forte.</t>
        </is>
      </c>
    </row>
    <row r="19">
      <c r="A19" s="12" t="inlineStr">
        <is>
          <t>Tema concorrente</t>
        </is>
      </c>
      <c r="B19" s="12" t="inlineStr">
        <is>
          <t>Comentários puxam outro assunto que o público quer ver</t>
        </is>
      </c>
      <c r="C19" s="12" t="inlineStr">
        <is>
          <t>Sinal de próximo conteúdo</t>
        </is>
      </c>
      <c r="D19" s="12" t="inlineStr">
        <is>
          <t>Ajuda a mapear a pauta seguinte.</t>
        </is>
      </c>
    </row>
    <row r="20">
      <c r="A20" s="12" t="inlineStr">
        <is>
          <t>Pedido de exemplo</t>
        </is>
      </c>
      <c r="B20" s="12" t="inlineStr">
        <is>
          <t>Pede caso real, frase pronta, roteiro, fala exata</t>
        </is>
      </c>
      <c r="C20" s="12" t="inlineStr">
        <is>
          <t>Conteúdo precisa de concretude</t>
        </is>
      </c>
      <c r="D20" s="12" t="inlineStr">
        <is>
          <t>Priorizar clareza e prática.</t>
        </is>
      </c>
    </row>
    <row r="23">
      <c r="A23" s="24" t="inlineStr">
        <is>
          <t>Regra operacional</t>
        </is>
      </c>
      <c r="B23" s="24" t="inlineStr">
        <is>
          <t>Para este projeto</t>
        </is>
      </c>
    </row>
    <row r="24">
      <c r="A24" s="12" t="inlineStr">
        <is>
          <t>Viral não é absoluto</t>
        </is>
      </c>
      <c r="B24" s="12" t="inlineStr">
        <is>
          <t>Um vídeo pode ser viral por romper o padrão do canal mesmo sem números gigantes; em educação, comentário qualificado pesa muito.</t>
        </is>
      </c>
    </row>
    <row r="25">
      <c r="A25" s="12" t="inlineStr">
        <is>
          <t>Prioridade de coleta</t>
        </is>
      </c>
      <c r="B25" s="12" t="inlineStr">
        <is>
          <t>Começar pelos vídeos do top 10% do canal, depois pelos vídeos com alta taxa de comentário e por fim pelos vídeos com ganchos úteis para o Professor Rafael.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terms:created xsi:type="dcterms:W3CDTF">2026-03-30T01:11:09Z</dcterms:created>
  <dcterms:modified xsi:type="dcterms:W3CDTF">2026-03-30T01:11:21Z</dcterms:modified>
  <cp:lastModifiedBy>Codex</cp:lastModifiedBy>
</cp:coreProperties>
</file>